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Test Cases" sheetId="3" state="visible" r:id="rId3"/>
    <sheet name="Known Defects" sheetId="4" state="visible" r:id="rId4"/>
    <sheet name="Test Data" sheetId="5" state="visible" r:id="rId5"/>
  </sheets>
  <definedNames>
    <definedName name="_xlnm._FilterDatabase" localSheetId="2" hidden="1">'Test Cases'!$A$1:$Q$211</definedName>
    <definedName name="_xlnm._FilterDatabase" localSheetId="3" hidden="1">'Known Defects'!$A$1:$L$29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F766E"/>
      <sz val="14"/>
    </font>
    <font>
      <name val="Arial"/>
      <b val="1"/>
      <color rgb="000F766E"/>
      <sz val="12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1" fillId="0" borderId="1" pivotButton="0" quotePrefix="0" xfId="0"/>
    <xf numFmtId="9" fontId="1" fillId="0" borderId="1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F8D7DA"/>
        </patternFill>
      </fill>
    </dxf>
    <dxf>
      <fill>
        <patternFill patternType="solid">
          <fgColor rgb="00D1F2E0"/>
        </patternFill>
      </fill>
    </dxf>
    <dxf>
      <fill>
        <patternFill patternType="solid">
          <fgColor rgb="00FFE8B3"/>
        </patternFill>
      </fill>
    </dxf>
    <dxf>
      <font>
        <name val="Arial"/>
        <b val="1"/>
        <color rgb="00FFFFFF"/>
      </font>
      <fill>
        <patternFill patternType="solid">
          <fgColor rgb="00C0392B"/>
        </patternFill>
      </fill>
    </dxf>
    <dxf>
      <font>
        <name val="Arial"/>
        <b val="1"/>
        <color rgb="00FFFFFF"/>
      </font>
      <fill>
        <patternFill patternType="solid">
          <fgColor rgb="00E74C3C"/>
        </patternFill>
      </fill>
    </dxf>
    <dxf>
      <font>
        <name val="Arial"/>
        <b val="1"/>
        <color rgb="00000000"/>
      </font>
      <fill>
        <patternFill patternType="solid">
          <fgColor rgb="00F39C12"/>
        </patternFill>
      </fill>
    </dxf>
    <dxf>
      <font>
        <name val="Arial"/>
        <b val="1"/>
        <color rgb="00000000"/>
      </font>
      <fill>
        <patternFill patternType="solid">
          <fgColor rgb="00F7DC6F"/>
        </patternFill>
      </fill>
    </dxf>
    <dxf>
      <font>
        <name val="Arial"/>
        <b val="1"/>
        <color rgb="00000000"/>
      </font>
      <fill>
        <patternFill patternType="solid">
          <fgColor rgb="00D5DB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PupBox — Customer Website Test Suite</t>
        </is>
      </c>
    </row>
    <row r="2">
      <c r="A2" s="2" t="inlineStr">
        <is>
          <t>Version</t>
        </is>
      </c>
      <c r="B2" s="3" t="inlineStr">
        <is>
          <t>1.0 · 8 October 2026</t>
        </is>
      </c>
    </row>
    <row r="3">
      <c r="A3" s="2" t="inlineStr">
        <is>
          <t>Scope</t>
        </is>
      </c>
      <c r="B3" s="3" t="inlineStr">
        <is>
          <t>Customer website (apps/web): navigation, language, homepage, pricing, custom box, shop, product, cart, coupons, account access, checkout (normal and gift), payment, account area, gift claim, blog/CMS, promo popup, SEO, accessibility, responsive, performance, security. Admin panel and API-only tests are out of scope.</t>
        </is>
      </c>
    </row>
    <row r="4">
      <c r="A4" s="2" t="inlineStr">
        <is>
          <t>Environment</t>
        </is>
      </c>
      <c r="B4" s="3" t="inlineStr">
        <is>
          <t>Local: website http://localhost:3000 · API http://localhost:4000/api/v1 · admin http://localhost:3001. Start with: docker compose up -d &amp;&amp; npm run dev</t>
        </is>
      </c>
    </row>
    <row r="5">
      <c r="A5" s="2" t="inlineStr">
        <is>
          <t>Built from</t>
        </is>
      </c>
      <c r="B5" s="3" t="inlineStr">
        <is>
          <t>Reading the website source on branch refactor/subscription-plans-modules plus live checks against the local stack on 8 Oct 2026. Cases reflect how the site actually works today, and what it should do where it falls short.</t>
        </is>
      </c>
    </row>
    <row r="6">
      <c r="A6" s="2" t="inlineStr"/>
    </row>
    <row r="7">
      <c r="A7" s="4" t="inlineStr">
        <is>
          <t>How to use</t>
        </is>
      </c>
    </row>
    <row r="8">
      <c r="A8" s="2" t="inlineStr">
        <is>
          <t>Columns to fill in</t>
        </is>
      </c>
      <c r="B8" s="3" t="inlineStr">
        <is>
          <t>Yellow columns on "Test Cases": Status, Actual Result, Defect ID, Tester, Run Date, Browser / Device. Everything else is the test definition.</t>
        </is>
      </c>
    </row>
    <row r="9">
      <c r="A9" s="2" t="inlineStr">
        <is>
          <t>Status values</t>
        </is>
      </c>
      <c r="B9" s="3" t="inlineStr">
        <is>
          <t>Not Run · Pass · Fail · Blocked · N/A  (drop-down). Failed rows turn red, passed green, blocked amber.</t>
        </is>
      </c>
    </row>
    <row r="10">
      <c r="A10" s="2" t="inlineStr">
        <is>
          <t>Priority</t>
        </is>
      </c>
      <c r="B10" s="3" t="inlineStr">
        <is>
          <t>P1 Critical — blocks buying or exposes data; run every release.  P2 High — core experience.  P3 Medium.  P4 Low / polish.</t>
        </is>
      </c>
    </row>
    <row r="11">
      <c r="A11" s="2" t="inlineStr">
        <is>
          <t>Suggested runs</t>
        </is>
      </c>
      <c r="B11" s="3" t="inlineStr">
        <is>
          <t>Smoke (before every release): filter Priority = P1.  Full regression: all rows.  Mobile pass: Type = Compatibility plus Responsive module on a phone.</t>
        </is>
      </c>
    </row>
    <row r="12">
      <c r="A12" s="2" t="inlineStr">
        <is>
          <t>Defects</t>
        </is>
      </c>
      <c r="B12" s="3" t="inlineStr">
        <is>
          <t>"Known Defects" lists problems already found while writing this suite. "Confirmed" = reproduced on the local site; "From code" = seen in the source, verify by running the linked test. Linked test cases carry the defect ID in the "Known Defect" column.</t>
        </is>
      </c>
    </row>
    <row r="13">
      <c r="A13" s="2" t="inlineStr">
        <is>
          <t>Test data</t>
        </is>
      </c>
      <c r="B13" s="3" t="inlineStr">
        <is>
          <t>See "Test Data" for accounts to create, products with special stock levels, plans, delivery methods and coupons to set up.</t>
        </is>
      </c>
    </row>
    <row r="14">
      <c r="A14" s="2" t="inlineStr">
        <is>
          <t>Example row</t>
        </is>
      </c>
      <c r="B14" s="3" t="inlineStr">
        <is>
          <t>TC-WEB-001 shows the expected way to record a run: Status Pass, Actual Result "As expected", Tester initials, date, and device.</t>
        </is>
      </c>
    </row>
    <row r="15">
      <c r="A15" s="2" t="inlineStr"/>
    </row>
    <row r="16">
      <c r="A16" s="2" t="inlineStr">
        <is>
          <t>Not testable yet</t>
        </is>
      </c>
      <c r="B16" s="3" t="inlineStr">
        <is>
          <t>Real payment (Flitt keys missing — D-25) and outgoing email (no Resend key). Those cases will be Blocked until the keys are set; use Flitt sandbox keys to unblock.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Test run summary</t>
        </is>
      </c>
    </row>
    <row r="2">
      <c r="A2" s="6" t="inlineStr">
        <is>
          <t>Updates automatically from the Status column on "Test Cases".</t>
        </is>
      </c>
    </row>
    <row r="4">
      <c r="A4" s="7" t="inlineStr">
        <is>
          <t>Module</t>
        </is>
      </c>
      <c r="B4" s="7" t="inlineStr">
        <is>
          <t>Total</t>
        </is>
      </c>
      <c r="C4" s="7" t="inlineStr">
        <is>
          <t>Pass</t>
        </is>
      </c>
      <c r="D4" s="7" t="inlineStr">
        <is>
          <t>Fail</t>
        </is>
      </c>
      <c r="E4" s="7" t="inlineStr">
        <is>
          <t>Blocked</t>
        </is>
      </c>
      <c r="F4" s="7" t="inlineStr">
        <is>
          <t>Not Run</t>
        </is>
      </c>
      <c r="G4" s="7" t="inlineStr">
        <is>
          <t>N/A</t>
        </is>
      </c>
      <c r="H4" s="7" t="inlineStr">
        <is>
          <t>Pass rate</t>
        </is>
      </c>
    </row>
    <row r="5">
      <c r="A5" s="8" t="inlineStr">
        <is>
          <t>Global</t>
        </is>
      </c>
      <c r="B5" s="8">
        <f>COUNTIF('Test Cases'!$B$2:$B$211,$A5)</f>
        <v/>
      </c>
      <c r="C5" s="8">
        <f>COUNTIFS('Test Cases'!$B$2:$B$211,$A5,'Test Cases'!$L$2:$L$211,"Pass")</f>
        <v/>
      </c>
      <c r="D5" s="8">
        <f>COUNTIFS('Test Cases'!$B$2:$B$211,$A5,'Test Cases'!$L$2:$L$211,"Fail")</f>
        <v/>
      </c>
      <c r="E5" s="8">
        <f>COUNTIFS('Test Cases'!$B$2:$B$211,$A5,'Test Cases'!$L$2:$L$211,"Blocked")</f>
        <v/>
      </c>
      <c r="F5" s="8">
        <f>COUNTIFS('Test Cases'!$B$2:$B$211,$A5,'Test Cases'!$L$2:$L$211,"Not Run")</f>
        <v/>
      </c>
      <c r="G5" s="8">
        <f>COUNTIFS('Test Cases'!$B$2:$B$211,$A5,'Test Cases'!$L$2:$L$211,"N/A")</f>
        <v/>
      </c>
      <c r="H5" s="9">
        <f>IF(B5-G5-F5=0,"-",C5/(B5-G5-F5))</f>
        <v/>
      </c>
    </row>
    <row r="6">
      <c r="A6" s="8" t="inlineStr">
        <is>
          <t>Localization</t>
        </is>
      </c>
      <c r="B6" s="8">
        <f>COUNTIF('Test Cases'!$B$2:$B$211,$A6)</f>
        <v/>
      </c>
      <c r="C6" s="8">
        <f>COUNTIFS('Test Cases'!$B$2:$B$211,$A6,'Test Cases'!$L$2:$L$211,"Pass")</f>
        <v/>
      </c>
      <c r="D6" s="8">
        <f>COUNTIFS('Test Cases'!$B$2:$B$211,$A6,'Test Cases'!$L$2:$L$211,"Fail")</f>
        <v/>
      </c>
      <c r="E6" s="8">
        <f>COUNTIFS('Test Cases'!$B$2:$B$211,$A6,'Test Cases'!$L$2:$L$211,"Blocked")</f>
        <v/>
      </c>
      <c r="F6" s="8">
        <f>COUNTIFS('Test Cases'!$B$2:$B$211,$A6,'Test Cases'!$L$2:$L$211,"Not Run")</f>
        <v/>
      </c>
      <c r="G6" s="8">
        <f>COUNTIFS('Test Cases'!$B$2:$B$211,$A6,'Test Cases'!$L$2:$L$211,"N/A")</f>
        <v/>
      </c>
      <c r="H6" s="9">
        <f>IF(B6-G6-F6=0,"-",C6/(B6-G6-F6))</f>
        <v/>
      </c>
    </row>
    <row r="7">
      <c r="A7" s="8" t="inlineStr">
        <is>
          <t>Homepage</t>
        </is>
      </c>
      <c r="B7" s="8">
        <f>COUNTIF('Test Cases'!$B$2:$B$211,$A7)</f>
        <v/>
      </c>
      <c r="C7" s="8">
        <f>COUNTIFS('Test Cases'!$B$2:$B$211,$A7,'Test Cases'!$L$2:$L$211,"Pass")</f>
        <v/>
      </c>
      <c r="D7" s="8">
        <f>COUNTIFS('Test Cases'!$B$2:$B$211,$A7,'Test Cases'!$L$2:$L$211,"Fail")</f>
        <v/>
      </c>
      <c r="E7" s="8">
        <f>COUNTIFS('Test Cases'!$B$2:$B$211,$A7,'Test Cases'!$L$2:$L$211,"Blocked")</f>
        <v/>
      </c>
      <c r="F7" s="8">
        <f>COUNTIFS('Test Cases'!$B$2:$B$211,$A7,'Test Cases'!$L$2:$L$211,"Not Run")</f>
        <v/>
      </c>
      <c r="G7" s="8">
        <f>COUNTIFS('Test Cases'!$B$2:$B$211,$A7,'Test Cases'!$L$2:$L$211,"N/A")</f>
        <v/>
      </c>
      <c r="H7" s="9">
        <f>IF(B7-G7-F7=0,"-",C7/(B7-G7-F7))</f>
        <v/>
      </c>
    </row>
    <row r="8">
      <c r="A8" s="8" t="inlineStr">
        <is>
          <t>How it works</t>
        </is>
      </c>
      <c r="B8" s="8">
        <f>COUNTIF('Test Cases'!$B$2:$B$211,$A8)</f>
        <v/>
      </c>
      <c r="C8" s="8">
        <f>COUNTIFS('Test Cases'!$B$2:$B$211,$A8,'Test Cases'!$L$2:$L$211,"Pass")</f>
        <v/>
      </c>
      <c r="D8" s="8">
        <f>COUNTIFS('Test Cases'!$B$2:$B$211,$A8,'Test Cases'!$L$2:$L$211,"Fail")</f>
        <v/>
      </c>
      <c r="E8" s="8">
        <f>COUNTIFS('Test Cases'!$B$2:$B$211,$A8,'Test Cases'!$L$2:$L$211,"Blocked")</f>
        <v/>
      </c>
      <c r="F8" s="8">
        <f>COUNTIFS('Test Cases'!$B$2:$B$211,$A8,'Test Cases'!$L$2:$L$211,"Not Run")</f>
        <v/>
      </c>
      <c r="G8" s="8">
        <f>COUNTIFS('Test Cases'!$B$2:$B$211,$A8,'Test Cases'!$L$2:$L$211,"N/A")</f>
        <v/>
      </c>
      <c r="H8" s="9">
        <f>IF(B8-G8-F8=0,"-",C8/(B8-G8-F8))</f>
        <v/>
      </c>
    </row>
    <row r="9">
      <c r="A9" s="8" t="inlineStr">
        <is>
          <t>Pricing</t>
        </is>
      </c>
      <c r="B9" s="8">
        <f>COUNTIF('Test Cases'!$B$2:$B$211,$A9)</f>
        <v/>
      </c>
      <c r="C9" s="8">
        <f>COUNTIFS('Test Cases'!$B$2:$B$211,$A9,'Test Cases'!$L$2:$L$211,"Pass")</f>
        <v/>
      </c>
      <c r="D9" s="8">
        <f>COUNTIFS('Test Cases'!$B$2:$B$211,$A9,'Test Cases'!$L$2:$L$211,"Fail")</f>
        <v/>
      </c>
      <c r="E9" s="8">
        <f>COUNTIFS('Test Cases'!$B$2:$B$211,$A9,'Test Cases'!$L$2:$L$211,"Blocked")</f>
        <v/>
      </c>
      <c r="F9" s="8">
        <f>COUNTIFS('Test Cases'!$B$2:$B$211,$A9,'Test Cases'!$L$2:$L$211,"Not Run")</f>
        <v/>
      </c>
      <c r="G9" s="8">
        <f>COUNTIFS('Test Cases'!$B$2:$B$211,$A9,'Test Cases'!$L$2:$L$211,"N/A")</f>
        <v/>
      </c>
      <c r="H9" s="9">
        <f>IF(B9-G9-F9=0,"-",C9/(B9-G9-F9))</f>
        <v/>
      </c>
    </row>
    <row r="10">
      <c r="A10" s="8" t="inlineStr">
        <is>
          <t>Custom box</t>
        </is>
      </c>
      <c r="B10" s="8">
        <f>COUNTIF('Test Cases'!$B$2:$B$211,$A10)</f>
        <v/>
      </c>
      <c r="C10" s="8">
        <f>COUNTIFS('Test Cases'!$B$2:$B$211,$A10,'Test Cases'!$L$2:$L$211,"Pass")</f>
        <v/>
      </c>
      <c r="D10" s="8">
        <f>COUNTIFS('Test Cases'!$B$2:$B$211,$A10,'Test Cases'!$L$2:$L$211,"Fail")</f>
        <v/>
      </c>
      <c r="E10" s="8">
        <f>COUNTIFS('Test Cases'!$B$2:$B$211,$A10,'Test Cases'!$L$2:$L$211,"Blocked")</f>
        <v/>
      </c>
      <c r="F10" s="8">
        <f>COUNTIFS('Test Cases'!$B$2:$B$211,$A10,'Test Cases'!$L$2:$L$211,"Not Run")</f>
        <v/>
      </c>
      <c r="G10" s="8">
        <f>COUNTIFS('Test Cases'!$B$2:$B$211,$A10,'Test Cases'!$L$2:$L$211,"N/A")</f>
        <v/>
      </c>
      <c r="H10" s="9">
        <f>IF(B10-G10-F10=0,"-",C10/(B10-G10-F10))</f>
        <v/>
      </c>
    </row>
    <row r="11">
      <c r="A11" s="8" t="inlineStr">
        <is>
          <t>Shop</t>
        </is>
      </c>
      <c r="B11" s="8">
        <f>COUNTIF('Test Cases'!$B$2:$B$211,$A11)</f>
        <v/>
      </c>
      <c r="C11" s="8">
        <f>COUNTIFS('Test Cases'!$B$2:$B$211,$A11,'Test Cases'!$L$2:$L$211,"Pass")</f>
        <v/>
      </c>
      <c r="D11" s="8">
        <f>COUNTIFS('Test Cases'!$B$2:$B$211,$A11,'Test Cases'!$L$2:$L$211,"Fail")</f>
        <v/>
      </c>
      <c r="E11" s="8">
        <f>COUNTIFS('Test Cases'!$B$2:$B$211,$A11,'Test Cases'!$L$2:$L$211,"Blocked")</f>
        <v/>
      </c>
      <c r="F11" s="8">
        <f>COUNTIFS('Test Cases'!$B$2:$B$211,$A11,'Test Cases'!$L$2:$L$211,"Not Run")</f>
        <v/>
      </c>
      <c r="G11" s="8">
        <f>COUNTIFS('Test Cases'!$B$2:$B$211,$A11,'Test Cases'!$L$2:$L$211,"N/A")</f>
        <v/>
      </c>
      <c r="H11" s="9">
        <f>IF(B11-G11-F11=0,"-",C11/(B11-G11-F11))</f>
        <v/>
      </c>
    </row>
    <row r="12">
      <c r="A12" s="8" t="inlineStr">
        <is>
          <t>Product page</t>
        </is>
      </c>
      <c r="B12" s="8">
        <f>COUNTIF('Test Cases'!$B$2:$B$211,$A12)</f>
        <v/>
      </c>
      <c r="C12" s="8">
        <f>COUNTIFS('Test Cases'!$B$2:$B$211,$A12,'Test Cases'!$L$2:$L$211,"Pass")</f>
        <v/>
      </c>
      <c r="D12" s="8">
        <f>COUNTIFS('Test Cases'!$B$2:$B$211,$A12,'Test Cases'!$L$2:$L$211,"Fail")</f>
        <v/>
      </c>
      <c r="E12" s="8">
        <f>COUNTIFS('Test Cases'!$B$2:$B$211,$A12,'Test Cases'!$L$2:$L$211,"Blocked")</f>
        <v/>
      </c>
      <c r="F12" s="8">
        <f>COUNTIFS('Test Cases'!$B$2:$B$211,$A12,'Test Cases'!$L$2:$L$211,"Not Run")</f>
        <v/>
      </c>
      <c r="G12" s="8">
        <f>COUNTIFS('Test Cases'!$B$2:$B$211,$A12,'Test Cases'!$L$2:$L$211,"N/A")</f>
        <v/>
      </c>
      <c r="H12" s="9">
        <f>IF(B12-G12-F12=0,"-",C12/(B12-G12-F12))</f>
        <v/>
      </c>
    </row>
    <row r="13">
      <c r="A13" s="8" t="inlineStr">
        <is>
          <t>Cart</t>
        </is>
      </c>
      <c r="B13" s="8">
        <f>COUNTIF('Test Cases'!$B$2:$B$211,$A13)</f>
        <v/>
      </c>
      <c r="C13" s="8">
        <f>COUNTIFS('Test Cases'!$B$2:$B$211,$A13,'Test Cases'!$L$2:$L$211,"Pass")</f>
        <v/>
      </c>
      <c r="D13" s="8">
        <f>COUNTIFS('Test Cases'!$B$2:$B$211,$A13,'Test Cases'!$L$2:$L$211,"Fail")</f>
        <v/>
      </c>
      <c r="E13" s="8">
        <f>COUNTIFS('Test Cases'!$B$2:$B$211,$A13,'Test Cases'!$L$2:$L$211,"Blocked")</f>
        <v/>
      </c>
      <c r="F13" s="8">
        <f>COUNTIFS('Test Cases'!$B$2:$B$211,$A13,'Test Cases'!$L$2:$L$211,"Not Run")</f>
        <v/>
      </c>
      <c r="G13" s="8">
        <f>COUNTIFS('Test Cases'!$B$2:$B$211,$A13,'Test Cases'!$L$2:$L$211,"N/A")</f>
        <v/>
      </c>
      <c r="H13" s="9">
        <f>IF(B13-G13-F13=0,"-",C13/(B13-G13-F13))</f>
        <v/>
      </c>
    </row>
    <row r="14">
      <c r="A14" s="8" t="inlineStr">
        <is>
          <t>Coupons</t>
        </is>
      </c>
      <c r="B14" s="8">
        <f>COUNTIF('Test Cases'!$B$2:$B$211,$A14)</f>
        <v/>
      </c>
      <c r="C14" s="8">
        <f>COUNTIFS('Test Cases'!$B$2:$B$211,$A14,'Test Cases'!$L$2:$L$211,"Pass")</f>
        <v/>
      </c>
      <c r="D14" s="8">
        <f>COUNTIFS('Test Cases'!$B$2:$B$211,$A14,'Test Cases'!$L$2:$L$211,"Fail")</f>
        <v/>
      </c>
      <c r="E14" s="8">
        <f>COUNTIFS('Test Cases'!$B$2:$B$211,$A14,'Test Cases'!$L$2:$L$211,"Blocked")</f>
        <v/>
      </c>
      <c r="F14" s="8">
        <f>COUNTIFS('Test Cases'!$B$2:$B$211,$A14,'Test Cases'!$L$2:$L$211,"Not Run")</f>
        <v/>
      </c>
      <c r="G14" s="8">
        <f>COUNTIFS('Test Cases'!$B$2:$B$211,$A14,'Test Cases'!$L$2:$L$211,"N/A")</f>
        <v/>
      </c>
      <c r="H14" s="9">
        <f>IF(B14-G14-F14=0,"-",C14/(B14-G14-F14))</f>
        <v/>
      </c>
    </row>
    <row r="15">
      <c r="A15" s="8" t="inlineStr">
        <is>
          <t>Account access</t>
        </is>
      </c>
      <c r="B15" s="8">
        <f>COUNTIF('Test Cases'!$B$2:$B$211,$A15)</f>
        <v/>
      </c>
      <c r="C15" s="8">
        <f>COUNTIFS('Test Cases'!$B$2:$B$211,$A15,'Test Cases'!$L$2:$L$211,"Pass")</f>
        <v/>
      </c>
      <c r="D15" s="8">
        <f>COUNTIFS('Test Cases'!$B$2:$B$211,$A15,'Test Cases'!$L$2:$L$211,"Fail")</f>
        <v/>
      </c>
      <c r="E15" s="8">
        <f>COUNTIFS('Test Cases'!$B$2:$B$211,$A15,'Test Cases'!$L$2:$L$211,"Blocked")</f>
        <v/>
      </c>
      <c r="F15" s="8">
        <f>COUNTIFS('Test Cases'!$B$2:$B$211,$A15,'Test Cases'!$L$2:$L$211,"Not Run")</f>
        <v/>
      </c>
      <c r="G15" s="8">
        <f>COUNTIFS('Test Cases'!$B$2:$B$211,$A15,'Test Cases'!$L$2:$L$211,"N/A")</f>
        <v/>
      </c>
      <c r="H15" s="9">
        <f>IF(B15-G15-F15=0,"-",C15/(B15-G15-F15))</f>
        <v/>
      </c>
    </row>
    <row r="16">
      <c r="A16" s="8" t="inlineStr">
        <is>
          <t>Checkout</t>
        </is>
      </c>
      <c r="B16" s="8">
        <f>COUNTIF('Test Cases'!$B$2:$B$211,$A16)</f>
        <v/>
      </c>
      <c r="C16" s="8">
        <f>COUNTIFS('Test Cases'!$B$2:$B$211,$A16,'Test Cases'!$L$2:$L$211,"Pass")</f>
        <v/>
      </c>
      <c r="D16" s="8">
        <f>COUNTIFS('Test Cases'!$B$2:$B$211,$A16,'Test Cases'!$L$2:$L$211,"Fail")</f>
        <v/>
      </c>
      <c r="E16" s="8">
        <f>COUNTIFS('Test Cases'!$B$2:$B$211,$A16,'Test Cases'!$L$2:$L$211,"Blocked")</f>
        <v/>
      </c>
      <c r="F16" s="8">
        <f>COUNTIFS('Test Cases'!$B$2:$B$211,$A16,'Test Cases'!$L$2:$L$211,"Not Run")</f>
        <v/>
      </c>
      <c r="G16" s="8">
        <f>COUNTIFS('Test Cases'!$B$2:$B$211,$A16,'Test Cases'!$L$2:$L$211,"N/A")</f>
        <v/>
      </c>
      <c r="H16" s="9">
        <f>IF(B16-G16-F16=0,"-",C16/(B16-G16-F16))</f>
        <v/>
      </c>
    </row>
    <row r="17">
      <c r="A17" s="8" t="inlineStr">
        <is>
          <t>Gift checkout</t>
        </is>
      </c>
      <c r="B17" s="8">
        <f>COUNTIF('Test Cases'!$B$2:$B$211,$A17)</f>
        <v/>
      </c>
      <c r="C17" s="8">
        <f>COUNTIFS('Test Cases'!$B$2:$B$211,$A17,'Test Cases'!$L$2:$L$211,"Pass")</f>
        <v/>
      </c>
      <c r="D17" s="8">
        <f>COUNTIFS('Test Cases'!$B$2:$B$211,$A17,'Test Cases'!$L$2:$L$211,"Fail")</f>
        <v/>
      </c>
      <c r="E17" s="8">
        <f>COUNTIFS('Test Cases'!$B$2:$B$211,$A17,'Test Cases'!$L$2:$L$211,"Blocked")</f>
        <v/>
      </c>
      <c r="F17" s="8">
        <f>COUNTIFS('Test Cases'!$B$2:$B$211,$A17,'Test Cases'!$L$2:$L$211,"Not Run")</f>
        <v/>
      </c>
      <c r="G17" s="8">
        <f>COUNTIFS('Test Cases'!$B$2:$B$211,$A17,'Test Cases'!$L$2:$L$211,"N/A")</f>
        <v/>
      </c>
      <c r="H17" s="9">
        <f>IF(B17-G17-F17=0,"-",C17/(B17-G17-F17))</f>
        <v/>
      </c>
    </row>
    <row r="18">
      <c r="A18" s="8" t="inlineStr">
        <is>
          <t>Payment</t>
        </is>
      </c>
      <c r="B18" s="8">
        <f>COUNTIF('Test Cases'!$B$2:$B$211,$A18)</f>
        <v/>
      </c>
      <c r="C18" s="8">
        <f>COUNTIFS('Test Cases'!$B$2:$B$211,$A18,'Test Cases'!$L$2:$L$211,"Pass")</f>
        <v/>
      </c>
      <c r="D18" s="8">
        <f>COUNTIFS('Test Cases'!$B$2:$B$211,$A18,'Test Cases'!$L$2:$L$211,"Fail")</f>
        <v/>
      </c>
      <c r="E18" s="8">
        <f>COUNTIFS('Test Cases'!$B$2:$B$211,$A18,'Test Cases'!$L$2:$L$211,"Blocked")</f>
        <v/>
      </c>
      <c r="F18" s="8">
        <f>COUNTIFS('Test Cases'!$B$2:$B$211,$A18,'Test Cases'!$L$2:$L$211,"Not Run")</f>
        <v/>
      </c>
      <c r="G18" s="8">
        <f>COUNTIFS('Test Cases'!$B$2:$B$211,$A18,'Test Cases'!$L$2:$L$211,"N/A")</f>
        <v/>
      </c>
      <c r="H18" s="9">
        <f>IF(B18-G18-F18=0,"-",C18/(B18-G18-F18))</f>
        <v/>
      </c>
    </row>
    <row r="19">
      <c r="A19" s="8" t="inlineStr">
        <is>
          <t>My account</t>
        </is>
      </c>
      <c r="B19" s="8">
        <f>COUNTIF('Test Cases'!$B$2:$B$211,$A19)</f>
        <v/>
      </c>
      <c r="C19" s="8">
        <f>COUNTIFS('Test Cases'!$B$2:$B$211,$A19,'Test Cases'!$L$2:$L$211,"Pass")</f>
        <v/>
      </c>
      <c r="D19" s="8">
        <f>COUNTIFS('Test Cases'!$B$2:$B$211,$A19,'Test Cases'!$L$2:$L$211,"Fail")</f>
        <v/>
      </c>
      <c r="E19" s="8">
        <f>COUNTIFS('Test Cases'!$B$2:$B$211,$A19,'Test Cases'!$L$2:$L$211,"Blocked")</f>
        <v/>
      </c>
      <c r="F19" s="8">
        <f>COUNTIFS('Test Cases'!$B$2:$B$211,$A19,'Test Cases'!$L$2:$L$211,"Not Run")</f>
        <v/>
      </c>
      <c r="G19" s="8">
        <f>COUNTIFS('Test Cases'!$B$2:$B$211,$A19,'Test Cases'!$L$2:$L$211,"N/A")</f>
        <v/>
      </c>
      <c r="H19" s="9">
        <f>IF(B19-G19-F19=0,"-",C19/(B19-G19-F19))</f>
        <v/>
      </c>
    </row>
    <row r="20">
      <c r="A20" s="8" t="inlineStr">
        <is>
          <t>My orders</t>
        </is>
      </c>
      <c r="B20" s="8">
        <f>COUNTIF('Test Cases'!$B$2:$B$211,$A20)</f>
        <v/>
      </c>
      <c r="C20" s="8">
        <f>COUNTIFS('Test Cases'!$B$2:$B$211,$A20,'Test Cases'!$L$2:$L$211,"Pass")</f>
        <v/>
      </c>
      <c r="D20" s="8">
        <f>COUNTIFS('Test Cases'!$B$2:$B$211,$A20,'Test Cases'!$L$2:$L$211,"Fail")</f>
        <v/>
      </c>
      <c r="E20" s="8">
        <f>COUNTIFS('Test Cases'!$B$2:$B$211,$A20,'Test Cases'!$L$2:$L$211,"Blocked")</f>
        <v/>
      </c>
      <c r="F20" s="8">
        <f>COUNTIFS('Test Cases'!$B$2:$B$211,$A20,'Test Cases'!$L$2:$L$211,"Not Run")</f>
        <v/>
      </c>
      <c r="G20" s="8">
        <f>COUNTIFS('Test Cases'!$B$2:$B$211,$A20,'Test Cases'!$L$2:$L$211,"N/A")</f>
        <v/>
      </c>
      <c r="H20" s="9">
        <f>IF(B20-G20-F20=0,"-",C20/(B20-G20-F20))</f>
        <v/>
      </c>
    </row>
    <row r="21">
      <c r="A21" s="8" t="inlineStr">
        <is>
          <t>Subscriptions</t>
        </is>
      </c>
      <c r="B21" s="8">
        <f>COUNTIF('Test Cases'!$B$2:$B$211,$A21)</f>
        <v/>
      </c>
      <c r="C21" s="8">
        <f>COUNTIFS('Test Cases'!$B$2:$B$211,$A21,'Test Cases'!$L$2:$L$211,"Pass")</f>
        <v/>
      </c>
      <c r="D21" s="8">
        <f>COUNTIFS('Test Cases'!$B$2:$B$211,$A21,'Test Cases'!$L$2:$L$211,"Fail")</f>
        <v/>
      </c>
      <c r="E21" s="8">
        <f>COUNTIFS('Test Cases'!$B$2:$B$211,$A21,'Test Cases'!$L$2:$L$211,"Blocked")</f>
        <v/>
      </c>
      <c r="F21" s="8">
        <f>COUNTIFS('Test Cases'!$B$2:$B$211,$A21,'Test Cases'!$L$2:$L$211,"Not Run")</f>
        <v/>
      </c>
      <c r="G21" s="8">
        <f>COUNTIFS('Test Cases'!$B$2:$B$211,$A21,'Test Cases'!$L$2:$L$211,"N/A")</f>
        <v/>
      </c>
      <c r="H21" s="9">
        <f>IF(B21-G21-F21=0,"-",C21/(B21-G21-F21))</f>
        <v/>
      </c>
    </row>
    <row r="22">
      <c r="A22" s="8" t="inlineStr">
        <is>
          <t>Referrals</t>
        </is>
      </c>
      <c r="B22" s="8">
        <f>COUNTIF('Test Cases'!$B$2:$B$211,$A22)</f>
        <v/>
      </c>
      <c r="C22" s="8">
        <f>COUNTIFS('Test Cases'!$B$2:$B$211,$A22,'Test Cases'!$L$2:$L$211,"Pass")</f>
        <v/>
      </c>
      <c r="D22" s="8">
        <f>COUNTIFS('Test Cases'!$B$2:$B$211,$A22,'Test Cases'!$L$2:$L$211,"Fail")</f>
        <v/>
      </c>
      <c r="E22" s="8">
        <f>COUNTIFS('Test Cases'!$B$2:$B$211,$A22,'Test Cases'!$L$2:$L$211,"Blocked")</f>
        <v/>
      </c>
      <c r="F22" s="8">
        <f>COUNTIFS('Test Cases'!$B$2:$B$211,$A22,'Test Cases'!$L$2:$L$211,"Not Run")</f>
        <v/>
      </c>
      <c r="G22" s="8">
        <f>COUNTIFS('Test Cases'!$B$2:$B$211,$A22,'Test Cases'!$L$2:$L$211,"N/A")</f>
        <v/>
      </c>
      <c r="H22" s="9">
        <f>IF(B22-G22-F22=0,"-",C22/(B22-G22-F22))</f>
        <v/>
      </c>
    </row>
    <row r="23">
      <c r="A23" s="8" t="inlineStr">
        <is>
          <t>Gift claim</t>
        </is>
      </c>
      <c r="B23" s="8">
        <f>COUNTIF('Test Cases'!$B$2:$B$211,$A23)</f>
        <v/>
      </c>
      <c r="C23" s="8">
        <f>COUNTIFS('Test Cases'!$B$2:$B$211,$A23,'Test Cases'!$L$2:$L$211,"Pass")</f>
        <v/>
      </c>
      <c r="D23" s="8">
        <f>COUNTIFS('Test Cases'!$B$2:$B$211,$A23,'Test Cases'!$L$2:$L$211,"Fail")</f>
        <v/>
      </c>
      <c r="E23" s="8">
        <f>COUNTIFS('Test Cases'!$B$2:$B$211,$A23,'Test Cases'!$L$2:$L$211,"Blocked")</f>
        <v/>
      </c>
      <c r="F23" s="8">
        <f>COUNTIFS('Test Cases'!$B$2:$B$211,$A23,'Test Cases'!$L$2:$L$211,"Not Run")</f>
        <v/>
      </c>
      <c r="G23" s="8">
        <f>COUNTIFS('Test Cases'!$B$2:$B$211,$A23,'Test Cases'!$L$2:$L$211,"N/A")</f>
        <v/>
      </c>
      <c r="H23" s="9">
        <f>IF(B23-G23-F23=0,"-",C23/(B23-G23-F23))</f>
        <v/>
      </c>
    </row>
    <row r="24">
      <c r="A24" s="8" t="inlineStr">
        <is>
          <t>Blog</t>
        </is>
      </c>
      <c r="B24" s="8">
        <f>COUNTIF('Test Cases'!$B$2:$B$211,$A24)</f>
        <v/>
      </c>
      <c r="C24" s="8">
        <f>COUNTIFS('Test Cases'!$B$2:$B$211,$A24,'Test Cases'!$L$2:$L$211,"Pass")</f>
        <v/>
      </c>
      <c r="D24" s="8">
        <f>COUNTIFS('Test Cases'!$B$2:$B$211,$A24,'Test Cases'!$L$2:$L$211,"Fail")</f>
        <v/>
      </c>
      <c r="E24" s="8">
        <f>COUNTIFS('Test Cases'!$B$2:$B$211,$A24,'Test Cases'!$L$2:$L$211,"Blocked")</f>
        <v/>
      </c>
      <c r="F24" s="8">
        <f>COUNTIFS('Test Cases'!$B$2:$B$211,$A24,'Test Cases'!$L$2:$L$211,"Not Run")</f>
        <v/>
      </c>
      <c r="G24" s="8">
        <f>COUNTIFS('Test Cases'!$B$2:$B$211,$A24,'Test Cases'!$L$2:$L$211,"N/A")</f>
        <v/>
      </c>
      <c r="H24" s="9">
        <f>IF(B24-G24-F24=0,"-",C24/(B24-G24-F24))</f>
        <v/>
      </c>
    </row>
    <row r="25">
      <c r="A25" s="8" t="inlineStr">
        <is>
          <t>CMS pages</t>
        </is>
      </c>
      <c r="B25" s="8">
        <f>COUNTIF('Test Cases'!$B$2:$B$211,$A25)</f>
        <v/>
      </c>
      <c r="C25" s="8">
        <f>COUNTIFS('Test Cases'!$B$2:$B$211,$A25,'Test Cases'!$L$2:$L$211,"Pass")</f>
        <v/>
      </c>
      <c r="D25" s="8">
        <f>COUNTIFS('Test Cases'!$B$2:$B$211,$A25,'Test Cases'!$L$2:$L$211,"Fail")</f>
        <v/>
      </c>
      <c r="E25" s="8">
        <f>COUNTIFS('Test Cases'!$B$2:$B$211,$A25,'Test Cases'!$L$2:$L$211,"Blocked")</f>
        <v/>
      </c>
      <c r="F25" s="8">
        <f>COUNTIFS('Test Cases'!$B$2:$B$211,$A25,'Test Cases'!$L$2:$L$211,"Not Run")</f>
        <v/>
      </c>
      <c r="G25" s="8">
        <f>COUNTIFS('Test Cases'!$B$2:$B$211,$A25,'Test Cases'!$L$2:$L$211,"N/A")</f>
        <v/>
      </c>
      <c r="H25" s="9">
        <f>IF(B25-G25-F25=0,"-",C25/(B25-G25-F25))</f>
        <v/>
      </c>
    </row>
    <row r="26">
      <c r="A26" s="8" t="inlineStr">
        <is>
          <t>Promo popup</t>
        </is>
      </c>
      <c r="B26" s="8">
        <f>COUNTIF('Test Cases'!$B$2:$B$211,$A26)</f>
        <v/>
      </c>
      <c r="C26" s="8">
        <f>COUNTIFS('Test Cases'!$B$2:$B$211,$A26,'Test Cases'!$L$2:$L$211,"Pass")</f>
        <v/>
      </c>
      <c r="D26" s="8">
        <f>COUNTIFS('Test Cases'!$B$2:$B$211,$A26,'Test Cases'!$L$2:$L$211,"Fail")</f>
        <v/>
      </c>
      <c r="E26" s="8">
        <f>COUNTIFS('Test Cases'!$B$2:$B$211,$A26,'Test Cases'!$L$2:$L$211,"Blocked")</f>
        <v/>
      </c>
      <c r="F26" s="8">
        <f>COUNTIFS('Test Cases'!$B$2:$B$211,$A26,'Test Cases'!$L$2:$L$211,"Not Run")</f>
        <v/>
      </c>
      <c r="G26" s="8">
        <f>COUNTIFS('Test Cases'!$B$2:$B$211,$A26,'Test Cases'!$L$2:$L$211,"N/A")</f>
        <v/>
      </c>
      <c r="H26" s="9">
        <f>IF(B26-G26-F26=0,"-",C26/(B26-G26-F26))</f>
        <v/>
      </c>
    </row>
    <row r="27">
      <c r="A27" s="8" t="inlineStr">
        <is>
          <t>SEO</t>
        </is>
      </c>
      <c r="B27" s="8">
        <f>COUNTIF('Test Cases'!$B$2:$B$211,$A27)</f>
        <v/>
      </c>
      <c r="C27" s="8">
        <f>COUNTIFS('Test Cases'!$B$2:$B$211,$A27,'Test Cases'!$L$2:$L$211,"Pass")</f>
        <v/>
      </c>
      <c r="D27" s="8">
        <f>COUNTIFS('Test Cases'!$B$2:$B$211,$A27,'Test Cases'!$L$2:$L$211,"Fail")</f>
        <v/>
      </c>
      <c r="E27" s="8">
        <f>COUNTIFS('Test Cases'!$B$2:$B$211,$A27,'Test Cases'!$L$2:$L$211,"Blocked")</f>
        <v/>
      </c>
      <c r="F27" s="8">
        <f>COUNTIFS('Test Cases'!$B$2:$B$211,$A27,'Test Cases'!$L$2:$L$211,"Not Run")</f>
        <v/>
      </c>
      <c r="G27" s="8">
        <f>COUNTIFS('Test Cases'!$B$2:$B$211,$A27,'Test Cases'!$L$2:$L$211,"N/A")</f>
        <v/>
      </c>
      <c r="H27" s="9">
        <f>IF(B27-G27-F27=0,"-",C27/(B27-G27-F27))</f>
        <v/>
      </c>
    </row>
    <row r="28">
      <c r="A28" s="8" t="inlineStr">
        <is>
          <t>Accessibility</t>
        </is>
      </c>
      <c r="B28" s="8">
        <f>COUNTIF('Test Cases'!$B$2:$B$211,$A28)</f>
        <v/>
      </c>
      <c r="C28" s="8">
        <f>COUNTIFS('Test Cases'!$B$2:$B$211,$A28,'Test Cases'!$L$2:$L$211,"Pass")</f>
        <v/>
      </c>
      <c r="D28" s="8">
        <f>COUNTIFS('Test Cases'!$B$2:$B$211,$A28,'Test Cases'!$L$2:$L$211,"Fail")</f>
        <v/>
      </c>
      <c r="E28" s="8">
        <f>COUNTIFS('Test Cases'!$B$2:$B$211,$A28,'Test Cases'!$L$2:$L$211,"Blocked")</f>
        <v/>
      </c>
      <c r="F28" s="8">
        <f>COUNTIFS('Test Cases'!$B$2:$B$211,$A28,'Test Cases'!$L$2:$L$211,"Not Run")</f>
        <v/>
      </c>
      <c r="G28" s="8">
        <f>COUNTIFS('Test Cases'!$B$2:$B$211,$A28,'Test Cases'!$L$2:$L$211,"N/A")</f>
        <v/>
      </c>
      <c r="H28" s="9">
        <f>IF(B28-G28-F28=0,"-",C28/(B28-G28-F28))</f>
        <v/>
      </c>
    </row>
    <row r="29">
      <c r="A29" s="8" t="inlineStr">
        <is>
          <t>Responsive</t>
        </is>
      </c>
      <c r="B29" s="8">
        <f>COUNTIF('Test Cases'!$B$2:$B$211,$A29)</f>
        <v/>
      </c>
      <c r="C29" s="8">
        <f>COUNTIFS('Test Cases'!$B$2:$B$211,$A29,'Test Cases'!$L$2:$L$211,"Pass")</f>
        <v/>
      </c>
      <c r="D29" s="8">
        <f>COUNTIFS('Test Cases'!$B$2:$B$211,$A29,'Test Cases'!$L$2:$L$211,"Fail")</f>
        <v/>
      </c>
      <c r="E29" s="8">
        <f>COUNTIFS('Test Cases'!$B$2:$B$211,$A29,'Test Cases'!$L$2:$L$211,"Blocked")</f>
        <v/>
      </c>
      <c r="F29" s="8">
        <f>COUNTIFS('Test Cases'!$B$2:$B$211,$A29,'Test Cases'!$L$2:$L$211,"Not Run")</f>
        <v/>
      </c>
      <c r="G29" s="8">
        <f>COUNTIFS('Test Cases'!$B$2:$B$211,$A29,'Test Cases'!$L$2:$L$211,"N/A")</f>
        <v/>
      </c>
      <c r="H29" s="9">
        <f>IF(B29-G29-F29=0,"-",C29/(B29-G29-F29))</f>
        <v/>
      </c>
    </row>
    <row r="30">
      <c r="A30" s="8" t="inlineStr">
        <is>
          <t>Performance</t>
        </is>
      </c>
      <c r="B30" s="8">
        <f>COUNTIF('Test Cases'!$B$2:$B$211,$A30)</f>
        <v/>
      </c>
      <c r="C30" s="8">
        <f>COUNTIFS('Test Cases'!$B$2:$B$211,$A30,'Test Cases'!$L$2:$L$211,"Pass")</f>
        <v/>
      </c>
      <c r="D30" s="8">
        <f>COUNTIFS('Test Cases'!$B$2:$B$211,$A30,'Test Cases'!$L$2:$L$211,"Fail")</f>
        <v/>
      </c>
      <c r="E30" s="8">
        <f>COUNTIFS('Test Cases'!$B$2:$B$211,$A30,'Test Cases'!$L$2:$L$211,"Blocked")</f>
        <v/>
      </c>
      <c r="F30" s="8">
        <f>COUNTIFS('Test Cases'!$B$2:$B$211,$A30,'Test Cases'!$L$2:$L$211,"Not Run")</f>
        <v/>
      </c>
      <c r="G30" s="8">
        <f>COUNTIFS('Test Cases'!$B$2:$B$211,$A30,'Test Cases'!$L$2:$L$211,"N/A")</f>
        <v/>
      </c>
      <c r="H30" s="9">
        <f>IF(B30-G30-F30=0,"-",C30/(B30-G30-F30))</f>
        <v/>
      </c>
    </row>
    <row r="31">
      <c r="A31" s="8" t="inlineStr">
        <is>
          <t>Security</t>
        </is>
      </c>
      <c r="B31" s="8">
        <f>COUNTIF('Test Cases'!$B$2:$B$211,$A31)</f>
        <v/>
      </c>
      <c r="C31" s="8">
        <f>COUNTIFS('Test Cases'!$B$2:$B$211,$A31,'Test Cases'!$L$2:$L$211,"Pass")</f>
        <v/>
      </c>
      <c r="D31" s="8">
        <f>COUNTIFS('Test Cases'!$B$2:$B$211,$A31,'Test Cases'!$L$2:$L$211,"Fail")</f>
        <v/>
      </c>
      <c r="E31" s="8">
        <f>COUNTIFS('Test Cases'!$B$2:$B$211,$A31,'Test Cases'!$L$2:$L$211,"Blocked")</f>
        <v/>
      </c>
      <c r="F31" s="8">
        <f>COUNTIFS('Test Cases'!$B$2:$B$211,$A31,'Test Cases'!$L$2:$L$211,"Not Run")</f>
        <v/>
      </c>
      <c r="G31" s="8">
        <f>COUNTIFS('Test Cases'!$B$2:$B$211,$A31,'Test Cases'!$L$2:$L$211,"N/A")</f>
        <v/>
      </c>
      <c r="H31" s="9">
        <f>IF(B31-G31-F31=0,"-",C31/(B31-G31-F31))</f>
        <v/>
      </c>
    </row>
    <row r="32">
      <c r="A32" s="10" t="inlineStr">
        <is>
          <t>Total</t>
        </is>
      </c>
      <c r="B32" s="10">
        <f>SUM(B5:B31)</f>
        <v/>
      </c>
      <c r="C32" s="10">
        <f>SUM(C5:C31)</f>
        <v/>
      </c>
      <c r="D32" s="10">
        <f>SUM(D5:D31)</f>
        <v/>
      </c>
      <c r="E32" s="10">
        <f>SUM(E5:E31)</f>
        <v/>
      </c>
      <c r="F32" s="10">
        <f>SUM(F5:F31)</f>
        <v/>
      </c>
      <c r="G32" s="10">
        <f>SUM(G5:G31)</f>
        <v/>
      </c>
      <c r="H32" s="11">
        <f>IF(B32-G32-F32=0,"-",C32/(B32-G32-F32))</f>
        <v/>
      </c>
    </row>
    <row r="33">
      <c r="A33" s="6" t="inlineStr">
        <is>
          <t>Pass rate = Pass ÷ (Total − N/A − Not Run)</t>
        </is>
      </c>
    </row>
    <row r="35">
      <c r="A35" s="7" t="inlineStr">
        <is>
          <t>Priority</t>
        </is>
      </c>
      <c r="B35" s="7" t="inlineStr">
        <is>
          <t>Total</t>
        </is>
      </c>
      <c r="C35" s="7" t="inlineStr">
        <is>
          <t>Pass</t>
        </is>
      </c>
      <c r="D35" s="7" t="inlineStr">
        <is>
          <t>Fail</t>
        </is>
      </c>
      <c r="E35" s="7" t="inlineStr">
        <is>
          <t>Blocked</t>
        </is>
      </c>
      <c r="F35" s="7" t="inlineStr">
        <is>
          <t>Not Run</t>
        </is>
      </c>
    </row>
    <row r="36">
      <c r="A36" s="8" t="inlineStr">
        <is>
          <t>P1</t>
        </is>
      </c>
      <c r="B36" s="8">
        <f>COUNTIF('Test Cases'!$F$2:$F$211,$A36)</f>
        <v/>
      </c>
      <c r="C36" s="8">
        <f>COUNTIFS('Test Cases'!$F$2:$F$211,$A36,'Test Cases'!$L$2:$L$211,"Pass")</f>
        <v/>
      </c>
      <c r="D36" s="8">
        <f>COUNTIFS('Test Cases'!$F$2:$F$211,$A36,'Test Cases'!$L$2:$L$211,"Fail")</f>
        <v/>
      </c>
      <c r="E36" s="8">
        <f>COUNTIFS('Test Cases'!$F$2:$F$211,$A36,'Test Cases'!$L$2:$L$211,"Blocked")</f>
        <v/>
      </c>
      <c r="F36" s="8">
        <f>COUNTIFS('Test Cases'!$F$2:$F$211,$A36,'Test Cases'!$L$2:$L$211,"Not Run")</f>
        <v/>
      </c>
    </row>
    <row r="37">
      <c r="A37" s="8" t="inlineStr">
        <is>
          <t>P2</t>
        </is>
      </c>
      <c r="B37" s="8">
        <f>COUNTIF('Test Cases'!$F$2:$F$211,$A37)</f>
        <v/>
      </c>
      <c r="C37" s="8">
        <f>COUNTIFS('Test Cases'!$F$2:$F$211,$A37,'Test Cases'!$L$2:$L$211,"Pass")</f>
        <v/>
      </c>
      <c r="D37" s="8">
        <f>COUNTIFS('Test Cases'!$F$2:$F$211,$A37,'Test Cases'!$L$2:$L$211,"Fail")</f>
        <v/>
      </c>
      <c r="E37" s="8">
        <f>COUNTIFS('Test Cases'!$F$2:$F$211,$A37,'Test Cases'!$L$2:$L$211,"Blocked")</f>
        <v/>
      </c>
      <c r="F37" s="8">
        <f>COUNTIFS('Test Cases'!$F$2:$F$211,$A37,'Test Cases'!$L$2:$L$211,"Not Run")</f>
        <v/>
      </c>
    </row>
    <row r="38">
      <c r="A38" s="8" t="inlineStr">
        <is>
          <t>P3</t>
        </is>
      </c>
      <c r="B38" s="8">
        <f>COUNTIF('Test Cases'!$F$2:$F$211,$A38)</f>
        <v/>
      </c>
      <c r="C38" s="8">
        <f>COUNTIFS('Test Cases'!$F$2:$F$211,$A38,'Test Cases'!$L$2:$L$211,"Pass")</f>
        <v/>
      </c>
      <c r="D38" s="8">
        <f>COUNTIFS('Test Cases'!$F$2:$F$211,$A38,'Test Cases'!$L$2:$L$211,"Fail")</f>
        <v/>
      </c>
      <c r="E38" s="8">
        <f>COUNTIFS('Test Cases'!$F$2:$F$211,$A38,'Test Cases'!$L$2:$L$211,"Blocked")</f>
        <v/>
      </c>
      <c r="F38" s="8">
        <f>COUNTIFS('Test Cases'!$F$2:$F$211,$A38,'Test Cases'!$L$2:$L$211,"Not Run")</f>
        <v/>
      </c>
    </row>
    <row r="39">
      <c r="A39" s="8" t="inlineStr">
        <is>
          <t>P4</t>
        </is>
      </c>
      <c r="B39" s="8">
        <f>COUNTIF('Test Cases'!$F$2:$F$211,$A39)</f>
        <v/>
      </c>
      <c r="C39" s="8">
        <f>COUNTIFS('Test Cases'!$F$2:$F$211,$A39,'Test Cases'!$L$2:$L$211,"Pass")</f>
        <v/>
      </c>
      <c r="D39" s="8">
        <f>COUNTIFS('Test Cases'!$F$2:$F$211,$A39,'Test Cases'!$L$2:$L$211,"Fail")</f>
        <v/>
      </c>
      <c r="E39" s="8">
        <f>COUNTIFS('Test Cases'!$F$2:$F$211,$A39,'Test Cases'!$L$2:$L$211,"Blocked")</f>
        <v/>
      </c>
      <c r="F39" s="8">
        <f>COUNTIFS('Test Cases'!$F$2:$F$211,$A39,'Test Cases'!$L$2:$L$211,"Not Run")</f>
        <v/>
      </c>
    </row>
    <row r="41">
      <c r="A41" s="7" t="inlineStr">
        <is>
          <t>Defects by severity</t>
        </is>
      </c>
      <c r="B41" s="7" t="inlineStr">
        <is>
          <t>Count</t>
        </is>
      </c>
      <c r="C41" s="7" t="inlineStr">
        <is>
          <t>Open</t>
        </is>
      </c>
    </row>
    <row r="42">
      <c r="A42" s="8" t="inlineStr">
        <is>
          <t>Blocker</t>
        </is>
      </c>
      <c r="B42" s="8">
        <f>COUNTIF('Known Defects'!$B$2:$B$29,$A42)</f>
        <v/>
      </c>
      <c r="C42" s="8">
        <f>COUNTIFS('Known Defects'!$B$2:$B$29,$A42,'Known Defects'!$L$2:$L$29,"Open")</f>
        <v/>
      </c>
    </row>
    <row r="43">
      <c r="A43" s="8" t="inlineStr">
        <is>
          <t>Critical</t>
        </is>
      </c>
      <c r="B43" s="8">
        <f>COUNTIF('Known Defects'!$B$2:$B$29,$A43)</f>
        <v/>
      </c>
      <c r="C43" s="8">
        <f>COUNTIFS('Known Defects'!$B$2:$B$29,$A43,'Known Defects'!$L$2:$L$29,"Open")</f>
        <v/>
      </c>
    </row>
    <row r="44">
      <c r="A44" s="8" t="inlineStr">
        <is>
          <t>High</t>
        </is>
      </c>
      <c r="B44" s="8">
        <f>COUNTIF('Known Defects'!$B$2:$B$29,$A44)</f>
        <v/>
      </c>
      <c r="C44" s="8">
        <f>COUNTIFS('Known Defects'!$B$2:$B$29,$A44,'Known Defects'!$L$2:$L$29,"Open")</f>
        <v/>
      </c>
    </row>
    <row r="45">
      <c r="A45" s="8" t="inlineStr">
        <is>
          <t>Medium</t>
        </is>
      </c>
      <c r="B45" s="8">
        <f>COUNTIF('Known Defects'!$B$2:$B$29,$A45)</f>
        <v/>
      </c>
      <c r="C45" s="8">
        <f>COUNTIFS('Known Defects'!$B$2:$B$29,$A45,'Known Defects'!$L$2:$L$29,"Open")</f>
        <v/>
      </c>
    </row>
    <row r="46">
      <c r="A46" s="8" t="inlineStr">
        <is>
          <t>Low</t>
        </is>
      </c>
      <c r="B46" s="8">
        <f>COUNTIF('Known Defects'!$B$2:$B$29,$A46)</f>
        <v/>
      </c>
      <c r="C46" s="8">
        <f>COUNTIFS('Known Defects'!$B$2:$B$29,$A46,'Known Defects'!$L$2:$L$29,"Open")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  <col width="13" customWidth="1" min="5" max="5"/>
    <col width="9" customWidth="1" min="6" max="6"/>
    <col width="28" customWidth="1" min="7" max="7"/>
    <col width="28" customWidth="1" min="8" max="8"/>
    <col width="42" customWidth="1" min="9" max="9"/>
    <col width="44" customWidth="1" min="10" max="10"/>
    <col width="11" customWidth="1" min="11" max="11"/>
    <col width="11" customWidth="1" min="12" max="12"/>
    <col width="30" customWidth="1" min="13" max="13"/>
    <col width="11" customWidth="1" min="14" max="14"/>
    <col width="10" customWidth="1" min="15" max="15"/>
    <col width="12" customWidth="1" min="16" max="16"/>
    <col width="16" customWidth="1" min="17" max="17"/>
  </cols>
  <sheetData>
    <row r="1" ht="30" customHeight="1">
      <c r="A1" s="12" t="inlineStr">
        <is>
          <t>ID</t>
        </is>
      </c>
      <c r="B1" s="12" t="inlineStr">
        <is>
          <t>Module</t>
        </is>
      </c>
      <c r="C1" s="12" t="inlineStr">
        <is>
          <t>Feature</t>
        </is>
      </c>
      <c r="D1" s="12" t="inlineStr">
        <is>
          <t>Title</t>
        </is>
      </c>
      <c r="E1" s="12" t="inlineStr">
        <is>
          <t>Type</t>
        </is>
      </c>
      <c r="F1" s="12" t="inlineStr">
        <is>
          <t>Priority</t>
        </is>
      </c>
      <c r="G1" s="12" t="inlineStr">
        <is>
          <t>Preconditions</t>
        </is>
      </c>
      <c r="H1" s="12" t="inlineStr">
        <is>
          <t>Test Data</t>
        </is>
      </c>
      <c r="I1" s="12" t="inlineStr">
        <is>
          <t>Steps</t>
        </is>
      </c>
      <c r="J1" s="12" t="inlineStr">
        <is>
          <t>Expected Result</t>
        </is>
      </c>
      <c r="K1" s="12" t="inlineStr">
        <is>
          <t>Known Defect</t>
        </is>
      </c>
      <c r="L1" s="12" t="inlineStr">
        <is>
          <t>Status</t>
        </is>
      </c>
      <c r="M1" s="12" t="inlineStr">
        <is>
          <t>Actual Result</t>
        </is>
      </c>
      <c r="N1" s="12" t="inlineStr">
        <is>
          <t>Defect ID</t>
        </is>
      </c>
      <c r="O1" s="12" t="inlineStr">
        <is>
          <t>Tester</t>
        </is>
      </c>
      <c r="P1" s="12" t="inlineStr">
        <is>
          <t>Run Date</t>
        </is>
      </c>
      <c r="Q1" s="12" t="inlineStr">
        <is>
          <t>Browser / Device</t>
        </is>
      </c>
    </row>
    <row r="2">
      <c r="A2" s="13" t="inlineStr">
        <is>
          <t>TC-WEB-001</t>
        </is>
      </c>
      <c r="B2" s="13" t="inlineStr">
        <is>
          <t>Global</t>
        </is>
      </c>
      <c r="C2" s="13" t="inlineStr">
        <is>
          <t>Header</t>
        </is>
      </c>
      <c r="D2" s="13" t="inlineStr">
        <is>
          <t>Header shows logo, nav links, Sign In, Subscribe and language switch</t>
        </is>
      </c>
      <c r="E2" s="13" t="inlineStr">
        <is>
          <t>UI</t>
        </is>
      </c>
      <c r="F2" s="13" t="inlineStr">
        <is>
          <t>P2</t>
        </is>
      </c>
      <c r="G2" s="13" t="inlineStr">
        <is>
          <t>Guest, clean browser (no localStorage)</t>
        </is>
      </c>
      <c r="H2" s="13" t="inlineStr"/>
      <c r="I2" s="13" t="inlineStr">
        <is>
          <t>1. Open /</t>
        </is>
      </c>
      <c r="J2" s="13" t="inlineStr">
        <is>
          <t>Logo, How it works, Pricing, Shop, Blog, Sign In, Subscribe and EN/KA switch are visible and aligned</t>
        </is>
      </c>
      <c r="K2" s="13" t="inlineStr"/>
      <c r="L2" s="14" t="inlineStr">
        <is>
          <t>Pass</t>
        </is>
      </c>
      <c r="M2" s="14" t="inlineStr">
        <is>
          <t>As expected</t>
        </is>
      </c>
      <c r="N2" s="14" t="inlineStr"/>
      <c r="O2" s="14" t="inlineStr">
        <is>
          <t>TK</t>
        </is>
      </c>
      <c r="P2" s="14" t="inlineStr">
        <is>
          <t>08.10.2026</t>
        </is>
      </c>
      <c r="Q2" s="14" t="inlineStr">
        <is>
          <t>Chrome / macOS</t>
        </is>
      </c>
    </row>
    <row r="3">
      <c r="A3" s="13" t="inlineStr">
        <is>
          <t>TC-WEB-002</t>
        </is>
      </c>
      <c r="B3" s="13" t="inlineStr">
        <is>
          <t>Global</t>
        </is>
      </c>
      <c r="C3" s="13" t="inlineStr">
        <is>
          <t>Header</t>
        </is>
      </c>
      <c r="D3" s="13" t="inlineStr">
        <is>
          <t>Each nav link opens the right page and is highlighted as active</t>
        </is>
      </c>
      <c r="E3" s="13" t="inlineStr">
        <is>
          <t>Functional</t>
        </is>
      </c>
      <c r="F3" s="13" t="inlineStr">
        <is>
          <t>P2</t>
        </is>
      </c>
      <c r="G3" s="13" t="inlineStr">
        <is>
          <t>Guest, clean browser (no localStorage)</t>
        </is>
      </c>
      <c r="H3" s="13" t="inlineStr"/>
      <c r="I3" s="13" t="inlineStr">
        <is>
          <t>1. Click How it works, Pricing, Shop, Blog in turn</t>
        </is>
      </c>
      <c r="J3" s="13" t="inlineStr">
        <is>
          <t>Each opens /how-it-works, /prices, /shop, /blog and that link is shown as active (teal, bold)</t>
        </is>
      </c>
      <c r="K3" s="13" t="inlineStr"/>
      <c r="L3" s="14" t="inlineStr">
        <is>
          <t>Not Run</t>
        </is>
      </c>
      <c r="M3" s="14" t="inlineStr"/>
      <c r="N3" s="14" t="inlineStr"/>
      <c r="O3" s="14" t="inlineStr"/>
      <c r="P3" s="14" t="inlineStr"/>
      <c r="Q3" s="14" t="inlineStr"/>
    </row>
    <row r="4">
      <c r="A4" s="13" t="inlineStr">
        <is>
          <t>TC-WEB-003</t>
        </is>
      </c>
      <c r="B4" s="13" t="inlineStr">
        <is>
          <t>Global</t>
        </is>
      </c>
      <c r="C4" s="13" t="inlineStr">
        <is>
          <t>Header</t>
        </is>
      </c>
      <c r="D4" s="13" t="inlineStr">
        <is>
          <t>Logo returns to the homepage from any page</t>
        </is>
      </c>
      <c r="E4" s="13" t="inlineStr">
        <is>
          <t>Functional</t>
        </is>
      </c>
      <c r="F4" s="13" t="inlineStr">
        <is>
          <t>P3</t>
        </is>
      </c>
      <c r="G4" s="13" t="inlineStr">
        <is>
          <t>Guest, clean browser (no localStorage)</t>
        </is>
      </c>
      <c r="H4" s="13" t="inlineStr"/>
      <c r="I4" s="13" t="inlineStr">
        <is>
          <t>1. Open /shop
2. Click the Pupbox logo</t>
        </is>
      </c>
      <c r="J4" s="13" t="inlineStr">
        <is>
          <t>Homepage / opens</t>
        </is>
      </c>
      <c r="K4" s="13" t="inlineStr"/>
      <c r="L4" s="14" t="inlineStr">
        <is>
          <t>Not Run</t>
        </is>
      </c>
      <c r="M4" s="14" t="inlineStr"/>
      <c r="N4" s="14" t="inlineStr"/>
      <c r="O4" s="14" t="inlineStr"/>
      <c r="P4" s="14" t="inlineStr"/>
      <c r="Q4" s="14" t="inlineStr"/>
    </row>
    <row r="5">
      <c r="A5" s="13" t="inlineStr">
        <is>
          <t>TC-WEB-004</t>
        </is>
      </c>
      <c r="B5" s="13" t="inlineStr">
        <is>
          <t>Global</t>
        </is>
      </c>
      <c r="C5" s="13" t="inlineStr">
        <is>
          <t>Header</t>
        </is>
      </c>
      <c r="D5" s="13" t="inlineStr">
        <is>
          <t>Header stays fixed (sticky) while scrolling</t>
        </is>
      </c>
      <c r="E5" s="13" t="inlineStr">
        <is>
          <t>UI</t>
        </is>
      </c>
      <c r="F5" s="13" t="inlineStr">
        <is>
          <t>P4</t>
        </is>
      </c>
      <c r="G5" s="13" t="inlineStr">
        <is>
          <t>Guest, clean browser (no localStorage)</t>
        </is>
      </c>
      <c r="H5" s="13" t="inlineStr"/>
      <c r="I5" s="13" t="inlineStr">
        <is>
          <t>1. Open / and scroll to the bottom</t>
        </is>
      </c>
      <c r="J5" s="13" t="inlineStr">
        <is>
          <t>Header remains visible at the top with a translucent background</t>
        </is>
      </c>
      <c r="K5" s="13" t="inlineStr"/>
      <c r="L5" s="14" t="inlineStr">
        <is>
          <t>Not Run</t>
        </is>
      </c>
      <c r="M5" s="14" t="inlineStr"/>
      <c r="N5" s="14" t="inlineStr"/>
      <c r="O5" s="14" t="inlineStr"/>
      <c r="P5" s="14" t="inlineStr"/>
      <c r="Q5" s="14" t="inlineStr"/>
    </row>
    <row r="6">
      <c r="A6" s="13" t="inlineStr">
        <is>
          <t>TC-WEB-005</t>
        </is>
      </c>
      <c r="B6" s="13" t="inlineStr">
        <is>
          <t>Global</t>
        </is>
      </c>
      <c r="C6" s="13" t="inlineStr">
        <is>
          <t>Header</t>
        </is>
      </c>
      <c r="D6" s="13" t="inlineStr">
        <is>
          <t>Cart is reachable from the header and shows the item count</t>
        </is>
      </c>
      <c r="E6" s="13" t="inlineStr">
        <is>
          <t>Functional</t>
        </is>
      </c>
      <c r="F6" s="13" t="inlineStr">
        <is>
          <t>P1</t>
        </is>
      </c>
      <c r="G6" s="13" t="inlineStr">
        <is>
          <t>Guest, clean browser (no localStorage); 2 products in cart</t>
        </is>
      </c>
      <c r="H6" s="13" t="inlineStr"/>
      <c r="I6" s="13" t="inlineStr">
        <is>
          <t>1. Add 2 products to cart
2. Look at the header on any page</t>
        </is>
      </c>
      <c r="J6" s="13" t="inlineStr">
        <is>
          <t>A cart icon with badge "2" is visible and opens /cart</t>
        </is>
      </c>
      <c r="K6" s="13" t="inlineStr">
        <is>
          <t>D-06</t>
        </is>
      </c>
      <c r="L6" s="14" t="inlineStr">
        <is>
          <t>Not Run</t>
        </is>
      </c>
      <c r="M6" s="14" t="inlineStr"/>
      <c r="N6" s="14" t="inlineStr"/>
      <c r="O6" s="14" t="inlineStr"/>
      <c r="P6" s="14" t="inlineStr"/>
      <c r="Q6" s="14" t="inlineStr"/>
    </row>
    <row r="7">
      <c r="A7" s="13" t="inlineStr">
        <is>
          <t>TC-WEB-006</t>
        </is>
      </c>
      <c r="B7" s="13" t="inlineStr">
        <is>
          <t>Global</t>
        </is>
      </c>
      <c r="C7" s="13" t="inlineStr">
        <is>
          <t>Header</t>
        </is>
      </c>
      <c r="D7" s="13" t="inlineStr">
        <is>
          <t>Header reflects signed-in state</t>
        </is>
      </c>
      <c r="E7" s="13" t="inlineStr">
        <is>
          <t>Functional</t>
        </is>
      </c>
      <c r="F7" s="13" t="inlineStr">
        <is>
          <t>P2</t>
        </is>
      </c>
      <c r="G7" s="13" t="inlineStr">
        <is>
          <t>Signed in as a customer</t>
        </is>
      </c>
      <c r="H7" s="13" t="inlineStr"/>
      <c r="I7" s="13" t="inlineStr">
        <is>
          <t>1. Sign in
2. Look at the header</t>
        </is>
      </c>
      <c r="J7" s="13" t="inlineStr">
        <is>
          <t>"Sign In" is replaced by account access (e.g. My account / Sign out)</t>
        </is>
      </c>
      <c r="K7" s="13" t="inlineStr">
        <is>
          <t>D-06</t>
        </is>
      </c>
      <c r="L7" s="14" t="inlineStr">
        <is>
          <t>Not Run</t>
        </is>
      </c>
      <c r="M7" s="14" t="inlineStr"/>
      <c r="N7" s="14" t="inlineStr"/>
      <c r="O7" s="14" t="inlineStr"/>
      <c r="P7" s="14" t="inlineStr"/>
      <c r="Q7" s="14" t="inlineStr"/>
    </row>
    <row r="8">
      <c r="A8" s="13" t="inlineStr">
        <is>
          <t>TC-WEB-007</t>
        </is>
      </c>
      <c r="B8" s="13" t="inlineStr">
        <is>
          <t>Global</t>
        </is>
      </c>
      <c r="C8" s="13" t="inlineStr">
        <is>
          <t>Navigation</t>
        </is>
      </c>
      <c r="D8" s="13" t="inlineStr">
        <is>
          <t>Mobile navigation exists at phone width</t>
        </is>
      </c>
      <c r="E8" s="13" t="inlineStr">
        <is>
          <t>Compatibility</t>
        </is>
      </c>
      <c r="F8" s="13" t="inlineStr">
        <is>
          <t>P1</t>
        </is>
      </c>
      <c r="G8" s="13" t="inlineStr">
        <is>
          <t>Guest, clean browser (no localStorage)</t>
        </is>
      </c>
      <c r="H8" s="13" t="inlineStr">
        <is>
          <t>Viewport 375×812</t>
        </is>
      </c>
      <c r="I8" s="13" t="inlineStr">
        <is>
          <t>1. Open / at 375px width
2. Try to reach Pricing, Shop, Blog, Sign In</t>
        </is>
      </c>
      <c r="J8" s="13" t="inlineStr">
        <is>
          <t>A menu (e.g. hamburger) gives access to every nav link and Sign In</t>
        </is>
      </c>
      <c r="K8" s="13" t="inlineStr">
        <is>
          <t>D-07</t>
        </is>
      </c>
      <c r="L8" s="14" t="inlineStr">
        <is>
          <t>Not Run</t>
        </is>
      </c>
      <c r="M8" s="14" t="inlineStr"/>
      <c r="N8" s="14" t="inlineStr"/>
      <c r="O8" s="14" t="inlineStr"/>
      <c r="P8" s="14" t="inlineStr"/>
      <c r="Q8" s="14" t="inlineStr"/>
    </row>
    <row r="9">
      <c r="A9" s="13" t="inlineStr">
        <is>
          <t>TC-WEB-008</t>
        </is>
      </c>
      <c r="B9" s="13" t="inlineStr">
        <is>
          <t>Global</t>
        </is>
      </c>
      <c r="C9" s="13" t="inlineStr">
        <is>
          <t>Navigation</t>
        </is>
      </c>
      <c r="D9" s="13" t="inlineStr">
        <is>
          <t>Unknown URL shows a 404 page</t>
        </is>
      </c>
      <c r="E9" s="13" t="inlineStr">
        <is>
          <t>Negative</t>
        </is>
      </c>
      <c r="F9" s="13" t="inlineStr">
        <is>
          <t>P3</t>
        </is>
      </c>
      <c r="G9" s="13" t="inlineStr">
        <is>
          <t>Guest, clean browser (no localStorage)</t>
        </is>
      </c>
      <c r="H9" s="13" t="inlineStr">
        <is>
          <t>/this-page-does-not-exist</t>
        </is>
      </c>
      <c r="I9" s="13" t="inlineStr">
        <is>
          <t>1. Open the URL</t>
        </is>
      </c>
      <c r="J9" s="13" t="inlineStr">
        <is>
          <t>A branded 404 page with a way back home; HTTP status 404</t>
        </is>
      </c>
      <c r="K9" s="13" t="inlineStr"/>
      <c r="L9" s="14" t="inlineStr">
        <is>
          <t>Not Run</t>
        </is>
      </c>
      <c r="M9" s="14" t="inlineStr"/>
      <c r="N9" s="14" t="inlineStr"/>
      <c r="O9" s="14" t="inlineStr"/>
      <c r="P9" s="14" t="inlineStr"/>
      <c r="Q9" s="14" t="inlineStr"/>
    </row>
    <row r="10">
      <c r="A10" s="13" t="inlineStr">
        <is>
          <t>TC-WEB-009</t>
        </is>
      </c>
      <c r="B10" s="13" t="inlineStr">
        <is>
          <t>Global</t>
        </is>
      </c>
      <c r="C10" s="13" t="inlineStr">
        <is>
          <t>Navigation</t>
        </is>
      </c>
      <c r="D10" s="13" t="inlineStr">
        <is>
          <t>Browser Back/Forward keep page state sensible</t>
        </is>
      </c>
      <c r="E10" s="13" t="inlineStr">
        <is>
          <t>Functional</t>
        </is>
      </c>
      <c r="F10" s="13" t="inlineStr">
        <is>
          <t>P3</t>
        </is>
      </c>
      <c r="G10" s="13" t="inlineStr">
        <is>
          <t>Guest, clean browser (no localStorage)</t>
        </is>
      </c>
      <c r="H10" s="13" t="inlineStr"/>
      <c r="I10" s="13" t="inlineStr">
        <is>
          <t>1. Open /shop?category=toys
2. Open a product
3. Press Back</t>
        </is>
      </c>
      <c r="J10" s="13" t="inlineStr">
        <is>
          <t>Returns to the filtered shop list with the same filter</t>
        </is>
      </c>
      <c r="K10" s="13" t="inlineStr"/>
      <c r="L10" s="14" t="inlineStr">
        <is>
          <t>Not Run</t>
        </is>
      </c>
      <c r="M10" s="14" t="inlineStr"/>
      <c r="N10" s="14" t="inlineStr"/>
      <c r="O10" s="14" t="inlineStr"/>
      <c r="P10" s="14" t="inlineStr"/>
      <c r="Q10" s="14" t="inlineStr"/>
    </row>
    <row r="11">
      <c r="A11" s="13" t="inlineStr">
        <is>
          <t>TC-WEB-010</t>
        </is>
      </c>
      <c r="B11" s="13" t="inlineStr">
        <is>
          <t>Global</t>
        </is>
      </c>
      <c r="C11" s="13" t="inlineStr">
        <is>
          <t>Layout</t>
        </is>
      </c>
      <c r="D11" s="13" t="inlineStr">
        <is>
          <t>Page has a footer with legal and contact links</t>
        </is>
      </c>
      <c r="E11" s="13" t="inlineStr">
        <is>
          <t>UI</t>
        </is>
      </c>
      <c r="F11" s="13" t="inlineStr">
        <is>
          <t>P3</t>
        </is>
      </c>
      <c r="G11" s="13" t="inlineStr">
        <is>
          <t>Guest, clean browser (no localStorage)</t>
        </is>
      </c>
      <c r="H11" s="13" t="inlineStr"/>
      <c r="I11" s="13" t="inlineStr">
        <is>
          <t>1. Scroll to the bottom of /</t>
        </is>
      </c>
      <c r="J11" s="13" t="inlineStr">
        <is>
          <t>Footer shows Terms, Privacy, Contact and social links that open the right pages</t>
        </is>
      </c>
      <c r="K11" s="13" t="inlineStr"/>
      <c r="L11" s="14" t="inlineStr">
        <is>
          <t>Not Run</t>
        </is>
      </c>
      <c r="M11" s="14" t="inlineStr"/>
      <c r="N11" s="14" t="inlineStr"/>
      <c r="O11" s="14" t="inlineStr"/>
      <c r="P11" s="14" t="inlineStr"/>
      <c r="Q11" s="14" t="inlineStr"/>
    </row>
    <row r="12">
      <c r="A12" s="13" t="inlineStr">
        <is>
          <t>TC-WEB-011</t>
        </is>
      </c>
      <c r="B12" s="13" t="inlineStr">
        <is>
          <t>Global</t>
        </is>
      </c>
      <c r="C12" s="13" t="inlineStr">
        <is>
          <t>Errors</t>
        </is>
      </c>
      <c r="D12" s="13" t="inlineStr">
        <is>
          <t>Site degrades gracefully when the API is down</t>
        </is>
      </c>
      <c r="E12" s="13" t="inlineStr">
        <is>
          <t>Negative</t>
        </is>
      </c>
      <c r="F12" s="13" t="inlineStr">
        <is>
          <t>P2</t>
        </is>
      </c>
      <c r="G12" s="13" t="inlineStr">
        <is>
          <t>API stopped (Ctrl-C the API process)</t>
        </is>
      </c>
      <c r="H12" s="13" t="inlineStr"/>
      <c r="I12" s="13" t="inlineStr">
        <is>
          <t>1. Open /, /prices, /shop, /cart</t>
        </is>
      </c>
      <c r="J12" s="13" t="inlineStr">
        <is>
          <t>Pages render with friendly empty/error states, no crash or blank screen</t>
        </is>
      </c>
      <c r="K12" s="13" t="inlineStr"/>
      <c r="L12" s="14" t="inlineStr">
        <is>
          <t>Not Run</t>
        </is>
      </c>
      <c r="M12" s="14" t="inlineStr"/>
      <c r="N12" s="14" t="inlineStr"/>
      <c r="O12" s="14" t="inlineStr"/>
      <c r="P12" s="14" t="inlineStr"/>
      <c r="Q12" s="14" t="inlineStr"/>
    </row>
    <row r="13">
      <c r="A13" s="13" t="inlineStr">
        <is>
          <t>TC-WEB-012</t>
        </is>
      </c>
      <c r="B13" s="13" t="inlineStr">
        <is>
          <t>Localization</t>
        </is>
      </c>
      <c r="C13" s="13" t="inlineStr">
        <is>
          <t>Language</t>
        </is>
      </c>
      <c r="D13" s="13" t="inlineStr">
        <is>
          <t>Default language is Georgian on first visit</t>
        </is>
      </c>
      <c r="E13" s="13" t="inlineStr">
        <is>
          <t>Localization</t>
        </is>
      </c>
      <c r="F13" s="13" t="inlineStr">
        <is>
          <t>P2</t>
        </is>
      </c>
      <c r="G13" s="13" t="inlineStr">
        <is>
          <t>Guest, clean browser (no localStorage)</t>
        </is>
      </c>
      <c r="H13" s="13" t="inlineStr"/>
      <c r="I13" s="13" t="inlineStr">
        <is>
          <t>1. Open / in a fresh browser</t>
        </is>
      </c>
      <c r="J13" s="13" t="inlineStr">
        <is>
          <t>Content is in Georgian; switch shows KA</t>
        </is>
      </c>
      <c r="K13" s="13" t="inlineStr"/>
      <c r="L13" s="14" t="inlineStr">
        <is>
          <t>Not Run</t>
        </is>
      </c>
      <c r="M13" s="14" t="inlineStr"/>
      <c r="N13" s="14" t="inlineStr"/>
      <c r="O13" s="14" t="inlineStr"/>
      <c r="P13" s="14" t="inlineStr"/>
      <c r="Q13" s="14" t="inlineStr"/>
    </row>
    <row r="14">
      <c r="A14" s="13" t="inlineStr">
        <is>
          <t>TC-WEB-013</t>
        </is>
      </c>
      <c r="B14" s="13" t="inlineStr">
        <is>
          <t>Localization</t>
        </is>
      </c>
      <c r="C14" s="13" t="inlineStr">
        <is>
          <t>Language</t>
        </is>
      </c>
      <c r="D14" s="13" t="inlineStr">
        <is>
          <t>Switch to English and back</t>
        </is>
      </c>
      <c r="E14" s="13" t="inlineStr">
        <is>
          <t>Localization</t>
        </is>
      </c>
      <c r="F14" s="13" t="inlineStr">
        <is>
          <t>P2</t>
        </is>
      </c>
      <c r="G14" s="13" t="inlineStr">
        <is>
          <t>Guest, clean browser (no localStorage)</t>
        </is>
      </c>
      <c r="H14" s="13" t="inlineStr"/>
      <c r="I14" s="13" t="inlineStr">
        <is>
          <t>1. Open the EN/KA menu
2. Choose English
3. Choose ქართული</t>
        </is>
      </c>
      <c r="J14" s="13" t="inlineStr">
        <is>
          <t>All header and page copy switches language each time without reload errors</t>
        </is>
      </c>
      <c r="K14" s="13" t="inlineStr"/>
      <c r="L14" s="14" t="inlineStr">
        <is>
          <t>Not Run</t>
        </is>
      </c>
      <c r="M14" s="14" t="inlineStr"/>
      <c r="N14" s="14" t="inlineStr"/>
      <c r="O14" s="14" t="inlineStr"/>
      <c r="P14" s="14" t="inlineStr"/>
      <c r="Q14" s="14" t="inlineStr"/>
    </row>
    <row r="15">
      <c r="A15" s="13" t="inlineStr">
        <is>
          <t>TC-WEB-014</t>
        </is>
      </c>
      <c r="B15" s="13" t="inlineStr">
        <is>
          <t>Localization</t>
        </is>
      </c>
      <c r="C15" s="13" t="inlineStr">
        <is>
          <t>Language</t>
        </is>
      </c>
      <c r="D15" s="13" t="inlineStr">
        <is>
          <t>Language choice persists across pages and reloads</t>
        </is>
      </c>
      <c r="E15" s="13" t="inlineStr">
        <is>
          <t>Localization</t>
        </is>
      </c>
      <c r="F15" s="13" t="inlineStr">
        <is>
          <t>P2</t>
        </is>
      </c>
      <c r="G15" s="13" t="inlineStr">
        <is>
          <t>Guest, clean browser (no localStorage)</t>
        </is>
      </c>
      <c r="H15" s="13" t="inlineStr"/>
      <c r="I15" s="13" t="inlineStr">
        <is>
          <t>1. Choose English
2. Navigate to /prices
3. Reload</t>
        </is>
      </c>
      <c r="J15" s="13" t="inlineStr">
        <is>
          <t>Site stays in English</t>
        </is>
      </c>
      <c r="K15" s="13" t="inlineStr"/>
      <c r="L15" s="14" t="inlineStr">
        <is>
          <t>Not Run</t>
        </is>
      </c>
      <c r="M15" s="14" t="inlineStr"/>
      <c r="N15" s="14" t="inlineStr"/>
      <c r="O15" s="14" t="inlineStr"/>
      <c r="P15" s="14" t="inlineStr"/>
      <c r="Q15" s="14" t="inlineStr"/>
    </row>
    <row r="16">
      <c r="A16" s="13" t="inlineStr">
        <is>
          <t>TC-WEB-015</t>
        </is>
      </c>
      <c r="B16" s="13" t="inlineStr">
        <is>
          <t>Localization</t>
        </is>
      </c>
      <c r="C16" s="13" t="inlineStr">
        <is>
          <t>Language</t>
        </is>
      </c>
      <c r="D16" s="13" t="inlineStr">
        <is>
          <t>Language menu works by touch and keyboard</t>
        </is>
      </c>
      <c r="E16" s="13" t="inlineStr">
        <is>
          <t>Accessibility</t>
        </is>
      </c>
      <c r="F16" s="13" t="inlineStr">
        <is>
          <t>P2</t>
        </is>
      </c>
      <c r="G16" s="13" t="inlineStr">
        <is>
          <t>Guest, clean browser (no localStorage)</t>
        </is>
      </c>
      <c r="H16" s="13" t="inlineStr">
        <is>
          <t>Phone or keyboard only</t>
        </is>
      </c>
      <c r="I16" s="13" t="inlineStr">
        <is>
          <t>1. Tap the EN/KA button on a phone
2. Tab to it and press Enter</t>
        </is>
      </c>
      <c r="J16" s="13" t="inlineStr">
        <is>
          <t>Menu opens and options can be chosen in both cases</t>
        </is>
      </c>
      <c r="K16" s="13" t="inlineStr">
        <is>
          <t>D-08</t>
        </is>
      </c>
      <c r="L16" s="14" t="inlineStr">
        <is>
          <t>Not Run</t>
        </is>
      </c>
      <c r="M16" s="14" t="inlineStr"/>
      <c r="N16" s="14" t="inlineStr"/>
      <c r="O16" s="14" t="inlineStr"/>
      <c r="P16" s="14" t="inlineStr"/>
      <c r="Q16" s="14" t="inlineStr"/>
    </row>
    <row r="17">
      <c r="A17" s="13" t="inlineStr">
        <is>
          <t>TC-WEB-016</t>
        </is>
      </c>
      <c r="B17" s="13" t="inlineStr">
        <is>
          <t>Localization</t>
        </is>
      </c>
      <c r="C17" s="13" t="inlineStr">
        <is>
          <t>Coverage</t>
        </is>
      </c>
      <c r="D17" s="13" t="inlineStr">
        <is>
          <t>Every customer page is translated when Georgian is selected</t>
        </is>
      </c>
      <c r="E17" s="13" t="inlineStr">
        <is>
          <t>Localization</t>
        </is>
      </c>
      <c r="F17" s="13" t="inlineStr">
        <is>
          <t>P2</t>
        </is>
      </c>
      <c r="G17" s="13" t="inlineStr">
        <is>
          <t>Guest, clean browser (no localStorage)</t>
        </is>
      </c>
      <c r="H17" s="13" t="inlineStr">
        <is>
          <t>Pages: /cart, /checkout, /shop, /shop/[slug], /login, /register, /account/*, /checkout/thank-you, /gift/[token]</t>
        </is>
      </c>
      <c r="I17" s="13" t="inlineStr">
        <is>
          <t>1. Select ქართული
2. Visit each page listed</t>
        </is>
      </c>
      <c r="J17" s="13" t="inlineStr">
        <is>
          <t>No English UI strings remain (buttons, labels, errors, empty states)</t>
        </is>
      </c>
      <c r="K17" s="13" t="inlineStr">
        <is>
          <t>D-15</t>
        </is>
      </c>
      <c r="L17" s="14" t="inlineStr">
        <is>
          <t>Not Run</t>
        </is>
      </c>
      <c r="M17" s="14" t="inlineStr"/>
      <c r="N17" s="14" t="inlineStr"/>
      <c r="O17" s="14" t="inlineStr"/>
      <c r="P17" s="14" t="inlineStr"/>
      <c r="Q17" s="14" t="inlineStr"/>
    </row>
    <row r="18">
      <c r="A18" s="13" t="inlineStr">
        <is>
          <t>TC-WEB-017</t>
        </is>
      </c>
      <c r="B18" s="13" t="inlineStr">
        <is>
          <t>Localization</t>
        </is>
      </c>
      <c r="C18" s="13" t="inlineStr">
        <is>
          <t>Copy</t>
        </is>
      </c>
      <c r="D18" s="13" t="inlineStr">
        <is>
          <t>Georgian brand wording is correct in title, social preview and hero badge</t>
        </is>
      </c>
      <c r="E18" s="13" t="inlineStr">
        <is>
          <t>Localization</t>
        </is>
      </c>
      <c r="F18" s="13" t="inlineStr">
        <is>
          <t>P2</t>
        </is>
      </c>
      <c r="G18" s="13" t="inlineStr">
        <is>
          <t>Guest, clean browser (no localStorage)</t>
        </is>
      </c>
      <c r="H18" s="13" t="inlineStr"/>
      <c r="I18" s="13" t="inlineStr">
        <is>
          <t>1. Check the browser tab title on /
2. Check the hero badge text
3. View page source for og:title</t>
        </is>
      </c>
      <c r="J18" s="13" t="inlineStr">
        <is>
          <t>Text says "ყოველთვიური ყუთის გამოწერა" (box), not "კუთხის" (corner)</t>
        </is>
      </c>
      <c r="K18" s="13" t="inlineStr">
        <is>
          <t>D-14</t>
        </is>
      </c>
      <c r="L18" s="14" t="inlineStr">
        <is>
          <t>Not Run</t>
        </is>
      </c>
      <c r="M18" s="14" t="inlineStr"/>
      <c r="N18" s="14" t="inlineStr"/>
      <c r="O18" s="14" t="inlineStr"/>
      <c r="P18" s="14" t="inlineStr"/>
      <c r="Q18" s="14" t="inlineStr"/>
    </row>
    <row r="19">
      <c r="A19" s="13" t="inlineStr">
        <is>
          <t>TC-WEB-018</t>
        </is>
      </c>
      <c r="B19" s="13" t="inlineStr">
        <is>
          <t>Localization</t>
        </is>
      </c>
      <c r="C19" s="13" t="inlineStr">
        <is>
          <t>Copy</t>
        </is>
      </c>
      <c r="D19" s="13" t="inlineStr">
        <is>
          <t>Plan benefits are translated in Georgian</t>
        </is>
      </c>
      <c r="E19" s="13" t="inlineStr">
        <is>
          <t>Localization</t>
        </is>
      </c>
      <c r="F19" s="13" t="inlineStr">
        <is>
          <t>P3</t>
        </is>
      </c>
      <c r="G19" s="13" t="inlineStr">
        <is>
          <t>Guest, clean browser (no localStorage)</t>
        </is>
      </c>
      <c r="H19" s="13" t="inlineStr"/>
      <c r="I19" s="13" t="inlineStr">
        <is>
          <t>1. Select ქართული
2. Open /prices</t>
        </is>
      </c>
      <c r="J19" s="13" t="inlineStr">
        <is>
          <t>Each benefit line on every plan card is in Georgian</t>
        </is>
      </c>
      <c r="K19" s="13" t="inlineStr"/>
      <c r="L19" s="14" t="inlineStr">
        <is>
          <t>Not Run</t>
        </is>
      </c>
      <c r="M19" s="14" t="inlineStr"/>
      <c r="N19" s="14" t="inlineStr"/>
      <c r="O19" s="14" t="inlineStr"/>
      <c r="P19" s="14" t="inlineStr"/>
      <c r="Q19" s="14" t="inlineStr"/>
    </row>
    <row r="20">
      <c r="A20" s="13" t="inlineStr">
        <is>
          <t>TC-WEB-019</t>
        </is>
      </c>
      <c r="B20" s="13" t="inlineStr">
        <is>
          <t>Localization</t>
        </is>
      </c>
      <c r="C20" s="13" t="inlineStr">
        <is>
          <t>Formatting</t>
        </is>
      </c>
      <c r="D20" s="13" t="inlineStr">
        <is>
          <t>Prices use ₾ and consistent decimals in both languages</t>
        </is>
      </c>
      <c r="E20" s="13" t="inlineStr">
        <is>
          <t>Localization</t>
        </is>
      </c>
      <c r="F20" s="13" t="inlineStr">
        <is>
          <t>P3</t>
        </is>
      </c>
      <c r="G20" s="13" t="inlineStr">
        <is>
          <t>Guest, clean browser (no localStorage)</t>
        </is>
      </c>
      <c r="H20" s="13" t="inlineStr"/>
      <c r="I20" s="13" t="inlineStr">
        <is>
          <t>1. Compare prices on /prices, /cart, /checkout in KA and EN</t>
        </is>
      </c>
      <c r="J20" s="13" t="inlineStr">
        <is>
          <t>Same amounts and format (₾ symbol, 2 decimals where shown)</t>
        </is>
      </c>
      <c r="K20" s="13" t="inlineStr">
        <is>
          <t>D-16</t>
        </is>
      </c>
      <c r="L20" s="14" t="inlineStr">
        <is>
          <t>Not Run</t>
        </is>
      </c>
      <c r="M20" s="14" t="inlineStr"/>
      <c r="N20" s="14" t="inlineStr"/>
      <c r="O20" s="14" t="inlineStr"/>
      <c r="P20" s="14" t="inlineStr"/>
      <c r="Q20" s="14" t="inlineStr"/>
    </row>
    <row r="21">
      <c r="A21" s="13" t="inlineStr">
        <is>
          <t>TC-WEB-020</t>
        </is>
      </c>
      <c r="B21" s="13" t="inlineStr">
        <is>
          <t>Localization</t>
        </is>
      </c>
      <c r="C21" s="13" t="inlineStr">
        <is>
          <t>Formatting</t>
        </is>
      </c>
      <c r="D21" s="13" t="inlineStr">
        <is>
          <t>Long Georgian strings do not overflow buttons or cards</t>
        </is>
      </c>
      <c r="E21" s="13" t="inlineStr">
        <is>
          <t>UI</t>
        </is>
      </c>
      <c r="F21" s="13" t="inlineStr">
        <is>
          <t>P3</t>
        </is>
      </c>
      <c r="G21" s="13" t="inlineStr">
        <is>
          <t>Guest, clean browser (no localStorage)</t>
        </is>
      </c>
      <c r="H21" s="13" t="inlineStr">
        <is>
          <t>Viewport 375px and 1280px</t>
        </is>
      </c>
      <c r="I21" s="13" t="inlineStr">
        <is>
          <t>1. Select ქართული
2. Review buttons, plan cards, nav</t>
        </is>
      </c>
      <c r="J21" s="13" t="inlineStr">
        <is>
          <t>No clipped or overlapping text</t>
        </is>
      </c>
      <c r="K21" s="13" t="inlineStr"/>
      <c r="L21" s="14" t="inlineStr">
        <is>
          <t>Not Run</t>
        </is>
      </c>
      <c r="M21" s="14" t="inlineStr"/>
      <c r="N21" s="14" t="inlineStr"/>
      <c r="O21" s="14" t="inlineStr"/>
      <c r="P21" s="14" t="inlineStr"/>
      <c r="Q21" s="14" t="inlineStr"/>
    </row>
    <row r="22">
      <c r="A22" s="13" t="inlineStr">
        <is>
          <t>TC-WEB-021</t>
        </is>
      </c>
      <c r="B22" s="13" t="inlineStr">
        <is>
          <t>Homepage</t>
        </is>
      </c>
      <c r="C22" s="13" t="inlineStr">
        <is>
          <t>Hero</t>
        </is>
      </c>
      <c r="D22" s="13" t="inlineStr">
        <is>
          <t>Hero shows heading, description and 3 CTAs</t>
        </is>
      </c>
      <c r="E22" s="13" t="inlineStr">
        <is>
          <t>UI</t>
        </is>
      </c>
      <c r="F22" s="13" t="inlineStr">
        <is>
          <t>P2</t>
        </is>
      </c>
      <c r="G22" s="13" t="inlineStr">
        <is>
          <t>Guest, clean browser (no localStorage)</t>
        </is>
      </c>
      <c r="H22" s="13" t="inlineStr"/>
      <c r="I22" s="13" t="inlineStr">
        <is>
          <t>1. Open /</t>
        </is>
      </c>
      <c r="J22" s="13" t="inlineStr">
        <is>
          <t>Heading, text, "Start Your Subscription", "Give as a Gift" and "See How It Works" are visible</t>
        </is>
      </c>
      <c r="K22" s="13" t="inlineStr"/>
      <c r="L22" s="14" t="inlineStr">
        <is>
          <t>Not Run</t>
        </is>
      </c>
      <c r="M22" s="14" t="inlineStr"/>
      <c r="N22" s="14" t="inlineStr"/>
      <c r="O22" s="14" t="inlineStr"/>
      <c r="P22" s="14" t="inlineStr"/>
      <c r="Q22" s="14" t="inlineStr"/>
    </row>
    <row r="23">
      <c r="A23" s="13" t="inlineStr">
        <is>
          <t>TC-WEB-022</t>
        </is>
      </c>
      <c r="B23" s="13" t="inlineStr">
        <is>
          <t>Homepage</t>
        </is>
      </c>
      <c r="C23" s="13" t="inlineStr">
        <is>
          <t>Hero</t>
        </is>
      </c>
      <c r="D23" s="13" t="inlineStr">
        <is>
          <t>"Start Your Subscription" opens pricing</t>
        </is>
      </c>
      <c r="E23" s="13" t="inlineStr">
        <is>
          <t>Functional</t>
        </is>
      </c>
      <c r="F23" s="13" t="inlineStr">
        <is>
          <t>P1</t>
        </is>
      </c>
      <c r="G23" s="13" t="inlineStr">
        <is>
          <t>Guest, clean browser (no localStorage)</t>
        </is>
      </c>
      <c r="H23" s="13" t="inlineStr"/>
      <c r="I23" s="13" t="inlineStr">
        <is>
          <t>1. Click Start Your Subscription</t>
        </is>
      </c>
      <c r="J23" s="13" t="inlineStr">
        <is>
          <t>/prices opens in "For my dog" mode</t>
        </is>
      </c>
      <c r="K23" s="13" t="inlineStr"/>
      <c r="L23" s="14" t="inlineStr">
        <is>
          <t>Not Run</t>
        </is>
      </c>
      <c r="M23" s="14" t="inlineStr"/>
      <c r="N23" s="14" t="inlineStr"/>
      <c r="O23" s="14" t="inlineStr"/>
      <c r="P23" s="14" t="inlineStr"/>
      <c r="Q23" s="14" t="inlineStr"/>
    </row>
    <row r="24">
      <c r="A24" s="13" t="inlineStr">
        <is>
          <t>TC-WEB-023</t>
        </is>
      </c>
      <c r="B24" s="13" t="inlineStr">
        <is>
          <t>Homepage</t>
        </is>
      </c>
      <c r="C24" s="13" t="inlineStr">
        <is>
          <t>Hero</t>
        </is>
      </c>
      <c r="D24" s="13" t="inlineStr">
        <is>
          <t>"Give as a Gift" opens pricing in gift mode</t>
        </is>
      </c>
      <c r="E24" s="13" t="inlineStr">
        <is>
          <t>Functional</t>
        </is>
      </c>
      <c r="F24" s="13" t="inlineStr">
        <is>
          <t>P2</t>
        </is>
      </c>
      <c r="G24" s="13" t="inlineStr">
        <is>
          <t>Guest, clean browser (no localStorage)</t>
        </is>
      </c>
      <c r="H24" s="13" t="inlineStr"/>
      <c r="I24" s="13" t="inlineStr">
        <is>
          <t>1. Click Give as a Gift</t>
        </is>
      </c>
      <c r="J24" s="13" t="inlineStr">
        <is>
          <t>/prices?gift=true opens with the Gift toggle selected and gift banner shown</t>
        </is>
      </c>
      <c r="K24" s="13" t="inlineStr"/>
      <c r="L24" s="14" t="inlineStr">
        <is>
          <t>Not Run</t>
        </is>
      </c>
      <c r="M24" s="14" t="inlineStr"/>
      <c r="N24" s="14" t="inlineStr"/>
      <c r="O24" s="14" t="inlineStr"/>
      <c r="P24" s="14" t="inlineStr"/>
      <c r="Q24" s="14" t="inlineStr"/>
    </row>
    <row r="25">
      <c r="A25" s="13" t="inlineStr">
        <is>
          <t>TC-WEB-024</t>
        </is>
      </c>
      <c r="B25" s="13" t="inlineStr">
        <is>
          <t>Homepage</t>
        </is>
      </c>
      <c r="C25" s="13" t="inlineStr">
        <is>
          <t>Hero</t>
        </is>
      </c>
      <c r="D25" s="13" t="inlineStr">
        <is>
          <t>"See How It Works" opens the explainer</t>
        </is>
      </c>
      <c r="E25" s="13" t="inlineStr">
        <is>
          <t>Functional</t>
        </is>
      </c>
      <c r="F25" s="13" t="inlineStr">
        <is>
          <t>P3</t>
        </is>
      </c>
      <c r="G25" s="13" t="inlineStr">
        <is>
          <t>Guest, clean browser (no localStorage)</t>
        </is>
      </c>
      <c r="H25" s="13" t="inlineStr"/>
      <c r="I25" s="13" t="inlineStr">
        <is>
          <t>1. Click See How It Works</t>
        </is>
      </c>
      <c r="J25" s="13" t="inlineStr">
        <is>
          <t>/how-it-works opens</t>
        </is>
      </c>
      <c r="K25" s="13" t="inlineStr"/>
      <c r="L25" s="14" t="inlineStr">
        <is>
          <t>Not Run</t>
        </is>
      </c>
      <c r="M25" s="14" t="inlineStr"/>
      <c r="N25" s="14" t="inlineStr"/>
      <c r="O25" s="14" t="inlineStr"/>
      <c r="P25" s="14" t="inlineStr"/>
      <c r="Q25" s="14" t="inlineStr"/>
    </row>
    <row r="26">
      <c r="A26" s="13" t="inlineStr">
        <is>
          <t>TC-WEB-025</t>
        </is>
      </c>
      <c r="B26" s="13" t="inlineStr">
        <is>
          <t>Homepage</t>
        </is>
      </c>
      <c r="C26" s="13" t="inlineStr">
        <is>
          <t>Content</t>
        </is>
      </c>
      <c r="D26" s="13" t="inlineStr">
        <is>
          <t>Stats, box contents and plan sections load</t>
        </is>
      </c>
      <c r="E26" s="13" t="inlineStr">
        <is>
          <t>Functional</t>
        </is>
      </c>
      <c r="F26" s="13" t="inlineStr">
        <is>
          <t>P2</t>
        </is>
      </c>
      <c r="G26" s="13" t="inlineStr">
        <is>
          <t>Guest, clean browser (no localStorage)</t>
        </is>
      </c>
      <c r="H26" s="13" t="inlineStr"/>
      <c r="I26" s="13" t="inlineStr">
        <is>
          <t>1. Scroll through /</t>
        </is>
      </c>
      <c r="J26" s="13" t="inlineStr">
        <is>
          <t>All sections render with real plan data and no placeholder/undefined text</t>
        </is>
      </c>
      <c r="K26" s="13" t="inlineStr"/>
      <c r="L26" s="14" t="inlineStr">
        <is>
          <t>Not Run</t>
        </is>
      </c>
      <c r="M26" s="14" t="inlineStr"/>
      <c r="N26" s="14" t="inlineStr"/>
      <c r="O26" s="14" t="inlineStr"/>
      <c r="P26" s="14" t="inlineStr"/>
      <c r="Q26" s="14" t="inlineStr"/>
    </row>
    <row r="27">
      <c r="A27" s="13" t="inlineStr">
        <is>
          <t>TC-WEB-026</t>
        </is>
      </c>
      <c r="B27" s="13" t="inlineStr">
        <is>
          <t>Homepage</t>
        </is>
      </c>
      <c r="C27" s="13" t="inlineStr">
        <is>
          <t>Content</t>
        </is>
      </c>
      <c r="D27" s="13" t="inlineStr">
        <is>
          <t>Plans on the homepage match /prices</t>
        </is>
      </c>
      <c r="E27" s="13" t="inlineStr">
        <is>
          <t>Functional</t>
        </is>
      </c>
      <c r="F27" s="13" t="inlineStr">
        <is>
          <t>P2</t>
        </is>
      </c>
      <c r="G27" s="13" t="inlineStr">
        <is>
          <t>Guest, clean browser (no localStorage)</t>
        </is>
      </c>
      <c r="H27" s="13" t="inlineStr"/>
      <c r="I27" s="13" t="inlineStr">
        <is>
          <t>1. Compare plan names and prices on / and /prices</t>
        </is>
      </c>
      <c r="J27" s="13" t="inlineStr">
        <is>
          <t>Same plans, same prices</t>
        </is>
      </c>
      <c r="K27" s="13" t="inlineStr"/>
      <c r="L27" s="14" t="inlineStr">
        <is>
          <t>Not Run</t>
        </is>
      </c>
      <c r="M27" s="14" t="inlineStr"/>
      <c r="N27" s="14" t="inlineStr"/>
      <c r="O27" s="14" t="inlineStr"/>
      <c r="P27" s="14" t="inlineStr"/>
      <c r="Q27" s="14" t="inlineStr"/>
    </row>
    <row r="28">
      <c r="A28" s="13" t="inlineStr">
        <is>
          <t>TC-WEB-027</t>
        </is>
      </c>
      <c r="B28" s="13" t="inlineStr">
        <is>
          <t>Homepage</t>
        </is>
      </c>
      <c r="C28" s="13" t="inlineStr">
        <is>
          <t>Animation</t>
        </is>
      </c>
      <c r="D28" s="13" t="inlineStr">
        <is>
          <t>Entrance animations do not hide content</t>
        </is>
      </c>
      <c r="E28" s="13" t="inlineStr">
        <is>
          <t>UI</t>
        </is>
      </c>
      <c r="F28" s="13" t="inlineStr">
        <is>
          <t>P4</t>
        </is>
      </c>
      <c r="G28" s="13" t="inlineStr">
        <is>
          <t>Guest, clean browser (no localStorage)</t>
        </is>
      </c>
      <c r="H28" s="13" t="inlineStr">
        <is>
          <t>Reduced motion ON in OS</t>
        </is>
      </c>
      <c r="I28" s="13" t="inlineStr">
        <is>
          <t>1. Enable "Reduce motion"
2. Open /</t>
        </is>
      </c>
      <c r="J28" s="13" t="inlineStr">
        <is>
          <t>All content visible; animations reduced or skipped</t>
        </is>
      </c>
      <c r="K28" s="13" t="inlineStr"/>
      <c r="L28" s="14" t="inlineStr">
        <is>
          <t>Not Run</t>
        </is>
      </c>
      <c r="M28" s="14" t="inlineStr"/>
      <c r="N28" s="14" t="inlineStr"/>
      <c r="O28" s="14" t="inlineStr"/>
      <c r="P28" s="14" t="inlineStr"/>
      <c r="Q28" s="14" t="inlineStr"/>
    </row>
    <row r="29">
      <c r="A29" s="13" t="inlineStr">
        <is>
          <t>TC-WEB-028</t>
        </is>
      </c>
      <c r="B29" s="13" t="inlineStr">
        <is>
          <t>How it works</t>
        </is>
      </c>
      <c r="C29" s="13" t="inlineStr">
        <is>
          <t>Page</t>
        </is>
      </c>
      <c r="D29" s="13" t="inlineStr">
        <is>
          <t>Steps and FAQ render and CTA leads to pricing</t>
        </is>
      </c>
      <c r="E29" s="13" t="inlineStr">
        <is>
          <t>Functional</t>
        </is>
      </c>
      <c r="F29" s="13" t="inlineStr">
        <is>
          <t>P3</t>
        </is>
      </c>
      <c r="G29" s="13" t="inlineStr">
        <is>
          <t>Guest, clean browser (no localStorage)</t>
        </is>
      </c>
      <c r="H29" s="13" t="inlineStr"/>
      <c r="I29" s="13" t="inlineStr">
        <is>
          <t>1. Open /how-it-works
2. Click the main CTA</t>
        </is>
      </c>
      <c r="J29" s="13" t="inlineStr">
        <is>
          <t>All steps visible; CTA opens /prices</t>
        </is>
      </c>
      <c r="K29" s="13" t="inlineStr"/>
      <c r="L29" s="14" t="inlineStr">
        <is>
          <t>Not Run</t>
        </is>
      </c>
      <c r="M29" s="14" t="inlineStr"/>
      <c r="N29" s="14" t="inlineStr"/>
      <c r="O29" s="14" t="inlineStr"/>
      <c r="P29" s="14" t="inlineStr"/>
      <c r="Q29" s="14" t="inlineStr"/>
    </row>
    <row r="30">
      <c r="A30" s="13" t="inlineStr">
        <is>
          <t>TC-WEB-029</t>
        </is>
      </c>
      <c r="B30" s="13" t="inlineStr">
        <is>
          <t>Pricing</t>
        </is>
      </c>
      <c r="C30" s="13" t="inlineStr">
        <is>
          <t>Plans</t>
        </is>
      </c>
      <c r="D30" s="13" t="inlineStr">
        <is>
          <t>All active plans are listed with name, total and monthly price</t>
        </is>
      </c>
      <c r="E30" s="13" t="inlineStr">
        <is>
          <t>Functional</t>
        </is>
      </c>
      <c r="F30" s="13" t="inlineStr">
        <is>
          <t>P1</t>
        </is>
      </c>
      <c r="G30" s="13" t="inlineStr">
        <is>
          <t>Guest, clean browser (no localStorage)</t>
        </is>
      </c>
      <c r="H30" s="13" t="inlineStr">
        <is>
          <t>Expected plans: 1 Month ₾49.99, 3 Months ₾134.99, 6 Months ₾255, 1 Year ₾480</t>
        </is>
      </c>
      <c r="I30" s="13" t="inlineStr">
        <is>
          <t>1. Open /prices</t>
        </is>
      </c>
      <c r="J30" s="13" t="inlineStr">
        <is>
          <t>Every active plan appears with correct total, ≈ per-month price and benefits</t>
        </is>
      </c>
      <c r="K30" s="13" t="inlineStr"/>
      <c r="L30" s="14" t="inlineStr">
        <is>
          <t>Not Run</t>
        </is>
      </c>
      <c r="M30" s="14" t="inlineStr"/>
      <c r="N30" s="14" t="inlineStr"/>
      <c r="O30" s="14" t="inlineStr"/>
      <c r="P30" s="14" t="inlineStr"/>
      <c r="Q30" s="14" t="inlineStr"/>
    </row>
    <row r="31">
      <c r="A31" s="13" t="inlineStr">
        <is>
          <t>TC-WEB-030</t>
        </is>
      </c>
      <c r="B31" s="13" t="inlineStr">
        <is>
          <t>Pricing</t>
        </is>
      </c>
      <c r="C31" s="13" t="inlineStr">
        <is>
          <t>Plans</t>
        </is>
      </c>
      <c r="D31" s="13" t="inlineStr">
        <is>
          <t>Inactive or test plans are not offered to customers</t>
        </is>
      </c>
      <c r="E31" s="13" t="inlineStr">
        <is>
          <t>Functional</t>
        </is>
      </c>
      <c r="F31" s="13" t="inlineStr">
        <is>
          <t>P1</t>
        </is>
      </c>
      <c r="G31" s="13" t="inlineStr">
        <is>
          <t>Guest, clean browser (no localStorage)</t>
        </is>
      </c>
      <c r="H31" s="13" t="inlineStr">
        <is>
          <t>Plan "3 month" ₾150 is a leftover test</t>
        </is>
      </c>
      <c r="I31" s="13" t="inlineStr">
        <is>
          <t>1. Open /prices</t>
        </is>
      </c>
      <c r="J31" s="13" t="inlineStr">
        <is>
          <t>Only intended plans are shown; "3 month" ₾150 is not offered</t>
        </is>
      </c>
      <c r="K31" s="13" t="inlineStr">
        <is>
          <t>D-24</t>
        </is>
      </c>
      <c r="L31" s="14" t="inlineStr">
        <is>
          <t>Not Run</t>
        </is>
      </c>
      <c r="M31" s="14" t="inlineStr"/>
      <c r="N31" s="14" t="inlineStr"/>
      <c r="O31" s="14" t="inlineStr"/>
      <c r="P31" s="14" t="inlineStr"/>
      <c r="Q31" s="14" t="inlineStr"/>
    </row>
    <row r="32">
      <c r="A32" s="13" t="inlineStr">
        <is>
          <t>TC-WEB-031</t>
        </is>
      </c>
      <c r="B32" s="13" t="inlineStr">
        <is>
          <t>Pricing</t>
        </is>
      </c>
      <c r="C32" s="13" t="inlineStr">
        <is>
          <t>Plans</t>
        </is>
      </c>
      <c r="D32" s="13" t="inlineStr">
        <is>
          <t>Plan prices are shown exactly, not rounded</t>
        </is>
      </c>
      <c r="E32" s="13" t="inlineStr">
        <is>
          <t>Functional</t>
        </is>
      </c>
      <c r="F32" s="13" t="inlineStr">
        <is>
          <t>P2</t>
        </is>
      </c>
      <c r="G32" s="13" t="inlineStr">
        <is>
          <t>Guest, clean browser (no localStorage)</t>
        </is>
      </c>
      <c r="H32" s="13" t="inlineStr">
        <is>
          <t>3 Months = ₾134.99</t>
        </is>
      </c>
      <c r="I32" s="13" t="inlineStr">
        <is>
          <t>1. Open /prices
2. Read the 3 Months card</t>
        </is>
      </c>
      <c r="J32" s="13" t="inlineStr">
        <is>
          <t>Card shows ₾134.99 (same as in cart), not ₾135</t>
        </is>
      </c>
      <c r="K32" s="13" t="inlineStr">
        <is>
          <t>D-16</t>
        </is>
      </c>
      <c r="L32" s="14" t="inlineStr">
        <is>
          <t>Not Run</t>
        </is>
      </c>
      <c r="M32" s="14" t="inlineStr"/>
      <c r="N32" s="14" t="inlineStr"/>
      <c r="O32" s="14" t="inlineStr"/>
      <c r="P32" s="14" t="inlineStr"/>
      <c r="Q32" s="14" t="inlineStr"/>
    </row>
    <row r="33">
      <c r="A33" s="13" t="inlineStr">
        <is>
          <t>TC-WEB-032</t>
        </is>
      </c>
      <c r="B33" s="13" t="inlineStr">
        <is>
          <t>Pricing</t>
        </is>
      </c>
      <c r="C33" s="13" t="inlineStr">
        <is>
          <t>Badges</t>
        </is>
      </c>
      <c r="D33" s="13" t="inlineStr">
        <is>
          <t>"Most Popular" and "Best Value" badges display on the right plans</t>
        </is>
      </c>
      <c r="E33" s="13" t="inlineStr">
        <is>
          <t>Functional</t>
        </is>
      </c>
      <c r="F33" s="13" t="inlineStr">
        <is>
          <t>P2</t>
        </is>
      </c>
      <c r="G33" s="13" t="inlineStr">
        <is>
          <t>Badges set in admin</t>
        </is>
      </c>
      <c r="H33" s="13" t="inlineStr"/>
      <c r="I33" s="13" t="inlineStr">
        <is>
          <t>1. Open /prices</t>
        </is>
      </c>
      <c r="J33" s="13" t="inlineStr">
        <is>
          <t>Plans with a badge in admin show the badge ribbon and highlighted border</t>
        </is>
      </c>
      <c r="K33" s="13" t="inlineStr">
        <is>
          <t>D-01</t>
        </is>
      </c>
      <c r="L33" s="14" t="inlineStr">
        <is>
          <t>Not Run</t>
        </is>
      </c>
      <c r="M33" s="14" t="inlineStr"/>
      <c r="N33" s="14" t="inlineStr"/>
      <c r="O33" s="14" t="inlineStr"/>
      <c r="P33" s="14" t="inlineStr"/>
      <c r="Q33" s="14" t="inlineStr"/>
    </row>
    <row r="34">
      <c r="A34" s="13" t="inlineStr">
        <is>
          <t>TC-WEB-033</t>
        </is>
      </c>
      <c r="B34" s="13" t="inlineStr">
        <is>
          <t>Pricing</t>
        </is>
      </c>
      <c r="C34" s="13" t="inlineStr">
        <is>
          <t>Plans</t>
        </is>
      </c>
      <c r="D34" s="13" t="inlineStr">
        <is>
          <t>Discount line only shows for discounted plans</t>
        </is>
      </c>
      <c r="E34" s="13" t="inlineStr">
        <is>
          <t>UI</t>
        </is>
      </c>
      <c r="F34" s="13" t="inlineStr">
        <is>
          <t>P3</t>
        </is>
      </c>
      <c r="G34" s="13" t="inlineStr">
        <is>
          <t>Guest, clean browser (no localStorage)</t>
        </is>
      </c>
      <c r="H34" s="13" t="inlineStr"/>
      <c r="I34" s="13" t="inlineStr">
        <is>
          <t>1. Open /prices</t>
        </is>
      </c>
      <c r="J34" s="13" t="inlineStr">
        <is>
          <t>"Save X% vs monthly" appears only where a discount exists; no stray "0" text</t>
        </is>
      </c>
      <c r="K34" s="13" t="inlineStr"/>
      <c r="L34" s="14" t="inlineStr">
        <is>
          <t>Not Run</t>
        </is>
      </c>
      <c r="M34" s="14" t="inlineStr"/>
      <c r="N34" s="14" t="inlineStr"/>
      <c r="O34" s="14" t="inlineStr"/>
      <c r="P34" s="14" t="inlineStr"/>
      <c r="Q34" s="14" t="inlineStr"/>
    </row>
    <row r="35">
      <c r="A35" s="13" t="inlineStr">
        <is>
          <t>TC-WEB-034</t>
        </is>
      </c>
      <c r="B35" s="13" t="inlineStr">
        <is>
          <t>Pricing</t>
        </is>
      </c>
      <c r="C35" s="13" t="inlineStr">
        <is>
          <t>Plans</t>
        </is>
      </c>
      <c r="D35" s="13" t="inlineStr">
        <is>
          <t>Plans are ordered as set in admin (sort order)</t>
        </is>
      </c>
      <c r="E35" s="13" t="inlineStr">
        <is>
          <t>Functional</t>
        </is>
      </c>
      <c r="F35" s="13" t="inlineStr">
        <is>
          <t>P3</t>
        </is>
      </c>
      <c r="G35" s="13" t="inlineStr">
        <is>
          <t>Sort order set in admin</t>
        </is>
      </c>
      <c r="H35" s="13" t="inlineStr"/>
      <c r="I35" s="13" t="inlineStr">
        <is>
          <t>1. Change sort order in admin
2. Reload /prices</t>
        </is>
      </c>
      <c r="J35" s="13" t="inlineStr">
        <is>
          <t>Order on the site follows admin</t>
        </is>
      </c>
      <c r="K35" s="13" t="inlineStr"/>
      <c r="L35" s="14" t="inlineStr">
        <is>
          <t>Not Run</t>
        </is>
      </c>
      <c r="M35" s="14" t="inlineStr"/>
      <c r="N35" s="14" t="inlineStr"/>
      <c r="O35" s="14" t="inlineStr"/>
      <c r="P35" s="14" t="inlineStr"/>
      <c r="Q35" s="14" t="inlineStr"/>
    </row>
    <row r="36">
      <c r="A36" s="13" t="inlineStr">
        <is>
          <t>TC-WEB-035</t>
        </is>
      </c>
      <c r="B36" s="13" t="inlineStr">
        <is>
          <t>Pricing</t>
        </is>
      </c>
      <c r="C36" s="13" t="inlineStr">
        <is>
          <t>Toggle</t>
        </is>
      </c>
      <c r="D36" s="13" t="inlineStr">
        <is>
          <t>Switch between "For my dog" and "Gift"</t>
        </is>
      </c>
      <c r="E36" s="13" t="inlineStr">
        <is>
          <t>Functional</t>
        </is>
      </c>
      <c r="F36" s="13" t="inlineStr">
        <is>
          <t>P2</t>
        </is>
      </c>
      <c r="G36" s="13" t="inlineStr">
        <is>
          <t>Guest, clean browser (no localStorage)</t>
        </is>
      </c>
      <c r="H36" s="13" t="inlineStr"/>
      <c r="I36" s="13" t="inlineStr">
        <is>
          <t>1. Click Gift
2. Click For my dog</t>
        </is>
      </c>
      <c r="J36" s="13" t="inlineStr">
        <is>
          <t>Gift shows amber styling, gift banner and "Gift card &amp; personalised message"; switching back restores normal cards</t>
        </is>
      </c>
      <c r="K36" s="13" t="inlineStr"/>
      <c r="L36" s="14" t="inlineStr">
        <is>
          <t>Not Run</t>
        </is>
      </c>
      <c r="M36" s="14" t="inlineStr"/>
      <c r="N36" s="14" t="inlineStr"/>
      <c r="O36" s="14" t="inlineStr"/>
      <c r="P36" s="14" t="inlineStr"/>
      <c r="Q36" s="14" t="inlineStr"/>
    </row>
    <row r="37">
      <c r="A37" s="13" t="inlineStr">
        <is>
          <t>TC-WEB-036</t>
        </is>
      </c>
      <c r="B37" s="13" t="inlineStr">
        <is>
          <t>Pricing</t>
        </is>
      </c>
      <c r="C37" s="13" t="inlineStr">
        <is>
          <t>Choose</t>
        </is>
      </c>
      <c r="D37" s="13" t="inlineStr">
        <is>
          <t>Choosing a plan adds it to cart and opens checkout</t>
        </is>
      </c>
      <c r="E37" s="13" t="inlineStr">
        <is>
          <t>Functional</t>
        </is>
      </c>
      <c r="F37" s="13" t="inlineStr">
        <is>
          <t>P1</t>
        </is>
      </c>
      <c r="G37" s="13" t="inlineStr">
        <is>
          <t>Guest, clean browser (no localStorage)</t>
        </is>
      </c>
      <c r="H37" s="13" t="inlineStr">
        <is>
          <t>1 Month</t>
        </is>
      </c>
      <c r="I37" s="13" t="inlineStr">
        <is>
          <t>1. Click the 1 Month card</t>
        </is>
      </c>
      <c r="J37" s="13" t="inlineStr">
        <is>
          <t>Plan added to cart (1 item) and /checkout opens</t>
        </is>
      </c>
      <c r="K37" s="13" t="inlineStr"/>
      <c r="L37" s="14" t="inlineStr">
        <is>
          <t>Not Run</t>
        </is>
      </c>
      <c r="M37" s="14" t="inlineStr"/>
      <c r="N37" s="14" t="inlineStr"/>
      <c r="O37" s="14" t="inlineStr"/>
      <c r="P37" s="14" t="inlineStr"/>
      <c r="Q37" s="14" t="inlineStr"/>
    </row>
    <row r="38">
      <c r="A38" s="13" t="inlineStr">
        <is>
          <t>TC-WEB-037</t>
        </is>
      </c>
      <c r="B38" s="13" t="inlineStr">
        <is>
          <t>Pricing</t>
        </is>
      </c>
      <c r="C38" s="13" t="inlineStr">
        <is>
          <t>Choose</t>
        </is>
      </c>
      <c r="D38" s="13" t="inlineStr">
        <is>
          <t>Choosing a plan in gift mode opens gift checkout</t>
        </is>
      </c>
      <c r="E38" s="13" t="inlineStr">
        <is>
          <t>Functional</t>
        </is>
      </c>
      <c r="F38" s="13" t="inlineStr">
        <is>
          <t>P1</t>
        </is>
      </c>
      <c r="G38" s="13" t="inlineStr">
        <is>
          <t>Guest, clean browser (no localStorage)</t>
        </is>
      </c>
      <c r="H38" s="13" t="inlineStr">
        <is>
          <t>3 Months</t>
        </is>
      </c>
      <c r="I38" s="13" t="inlineStr">
        <is>
          <t>1. Select Gift
2. Click 3 Months</t>
        </is>
      </c>
      <c r="J38" s="13" t="inlineStr">
        <is>
          <t>/checkout?gift=true opens with steps Account → Gift Details → Delivery → Review</t>
        </is>
      </c>
      <c r="K38" s="13" t="inlineStr"/>
      <c r="L38" s="14" t="inlineStr">
        <is>
          <t>Not Run</t>
        </is>
      </c>
      <c r="M38" s="14" t="inlineStr"/>
      <c r="N38" s="14" t="inlineStr"/>
      <c r="O38" s="14" t="inlineStr"/>
      <c r="P38" s="14" t="inlineStr"/>
      <c r="Q38" s="14" t="inlineStr"/>
    </row>
    <row r="39">
      <c r="A39" s="13" t="inlineStr">
        <is>
          <t>TC-WEB-038</t>
        </is>
      </c>
      <c r="B39" s="13" t="inlineStr">
        <is>
          <t>Pricing</t>
        </is>
      </c>
      <c r="C39" s="13" t="inlineStr">
        <is>
          <t>Choose</t>
        </is>
      </c>
      <c r="D39" s="13" t="inlineStr">
        <is>
          <t>Choosing a second plan does not leave two plans in the cart unintentionally</t>
        </is>
      </c>
      <c r="E39" s="13" t="inlineStr">
        <is>
          <t>Edge</t>
        </is>
      </c>
      <c r="F39" s="13" t="inlineStr">
        <is>
          <t>P2</t>
        </is>
      </c>
      <c r="G39" s="13" t="inlineStr">
        <is>
          <t>Guest, clean browser (no localStorage)</t>
        </is>
      </c>
      <c r="H39" s="13" t="inlineStr"/>
      <c r="I39" s="13" t="inlineStr">
        <is>
          <t>1. Choose 1 Month
2. Go back to /prices
3. Choose 6 Months
4. Open /cart</t>
        </is>
      </c>
      <c r="J39" s="13" t="inlineStr">
        <is>
          <t>Clear behaviour: plan replaced, or both shown with a warning; never a silent double charge</t>
        </is>
      </c>
      <c r="K39" s="13" t="inlineStr"/>
      <c r="L39" s="14" t="inlineStr">
        <is>
          <t>Not Run</t>
        </is>
      </c>
      <c r="M39" s="14" t="inlineStr"/>
      <c r="N39" s="14" t="inlineStr"/>
      <c r="O39" s="14" t="inlineStr"/>
      <c r="P39" s="14" t="inlineStr"/>
      <c r="Q39" s="14" t="inlineStr"/>
    </row>
    <row r="40">
      <c r="A40" s="13" t="inlineStr">
        <is>
          <t>TC-WEB-039</t>
        </is>
      </c>
      <c r="B40" s="13" t="inlineStr">
        <is>
          <t>Pricing</t>
        </is>
      </c>
      <c r="C40" s="13" t="inlineStr">
        <is>
          <t>Choose</t>
        </is>
      </c>
      <c r="D40" s="13" t="inlineStr">
        <is>
          <t>Double-clicking a plan adds it only once</t>
        </is>
      </c>
      <c r="E40" s="13" t="inlineStr">
        <is>
          <t>Edge</t>
        </is>
      </c>
      <c r="F40" s="13" t="inlineStr">
        <is>
          <t>P2</t>
        </is>
      </c>
      <c r="G40" s="13" t="inlineStr">
        <is>
          <t>Guest, clean browser (no localStorage)</t>
        </is>
      </c>
      <c r="H40" s="13" t="inlineStr"/>
      <c r="I40" s="13" t="inlineStr">
        <is>
          <t>1. Double-click a plan card quickly</t>
        </is>
      </c>
      <c r="J40" s="13" t="inlineStr">
        <is>
          <t>Only one plan in cart</t>
        </is>
      </c>
      <c r="K40" s="13" t="inlineStr"/>
      <c r="L40" s="14" t="inlineStr">
        <is>
          <t>Not Run</t>
        </is>
      </c>
      <c r="M40" s="14" t="inlineStr"/>
      <c r="N40" s="14" t="inlineStr"/>
      <c r="O40" s="14" t="inlineStr"/>
      <c r="P40" s="14" t="inlineStr"/>
      <c r="Q40" s="14" t="inlineStr"/>
    </row>
    <row r="41">
      <c r="A41" s="13" t="inlineStr">
        <is>
          <t>TC-WEB-040</t>
        </is>
      </c>
      <c r="B41" s="13" t="inlineStr">
        <is>
          <t>Pricing</t>
        </is>
      </c>
      <c r="C41" s="13" t="inlineStr">
        <is>
          <t>Choose</t>
        </is>
      </c>
      <c r="D41" s="13" t="inlineStr">
        <is>
          <t>Plan cards can be chosen with the keyboard</t>
        </is>
      </c>
      <c r="E41" s="13" t="inlineStr">
        <is>
          <t>Accessibility</t>
        </is>
      </c>
      <c r="F41" s="13" t="inlineStr">
        <is>
          <t>P2</t>
        </is>
      </c>
      <c r="G41" s="13" t="inlineStr">
        <is>
          <t>Guest, clean browser (no localStorage)</t>
        </is>
      </c>
      <c r="H41" s="13" t="inlineStr">
        <is>
          <t>Keyboard only</t>
        </is>
      </c>
      <c r="I41" s="13" t="inlineStr">
        <is>
          <t>1. Tab through /prices
2. Press Enter on a plan</t>
        </is>
      </c>
      <c r="J41" s="13" t="inlineStr">
        <is>
          <t>Each plan is focusable with visible focus and selectable with Enter/Space</t>
        </is>
      </c>
      <c r="K41" s="13" t="inlineStr">
        <is>
          <t>D-17</t>
        </is>
      </c>
      <c r="L41" s="14" t="inlineStr">
        <is>
          <t>Not Run</t>
        </is>
      </c>
      <c r="M41" s="14" t="inlineStr"/>
      <c r="N41" s="14" t="inlineStr"/>
      <c r="O41" s="14" t="inlineStr"/>
      <c r="P41" s="14" t="inlineStr"/>
      <c r="Q41" s="14" t="inlineStr"/>
    </row>
    <row r="42">
      <c r="A42" s="13" t="inlineStr">
        <is>
          <t>TC-WEB-041</t>
        </is>
      </c>
      <c r="B42" s="13" t="inlineStr">
        <is>
          <t>Pricing</t>
        </is>
      </c>
      <c r="C42" s="13" t="inlineStr">
        <is>
          <t>Box contents</t>
        </is>
      </c>
      <c r="D42" s="13" t="inlineStr">
        <is>
          <t>Box contents tabs switch categories</t>
        </is>
      </c>
      <c r="E42" s="13" t="inlineStr">
        <is>
          <t>Functional</t>
        </is>
      </c>
      <c r="F42" s="13" t="inlineStr">
        <is>
          <t>P3</t>
        </is>
      </c>
      <c r="G42" s="13" t="inlineStr">
        <is>
          <t>Guest, clean browser (no localStorage)</t>
        </is>
      </c>
      <c r="H42" s="13" t="inlineStr"/>
      <c r="I42" s="13" t="inlineStr">
        <is>
          <t>1. Click Treats, Toys, Grooming, Accessories, Surprise</t>
        </is>
      </c>
      <c r="J42" s="13" t="inlineStr">
        <is>
          <t>Each tab shows its 6 items; active tab highlighted</t>
        </is>
      </c>
      <c r="K42" s="13" t="inlineStr"/>
      <c r="L42" s="14" t="inlineStr">
        <is>
          <t>Not Run</t>
        </is>
      </c>
      <c r="M42" s="14" t="inlineStr"/>
      <c r="N42" s="14" t="inlineStr"/>
      <c r="O42" s="14" t="inlineStr"/>
      <c r="P42" s="14" t="inlineStr"/>
      <c r="Q42" s="14" t="inlineStr"/>
    </row>
    <row r="43">
      <c r="A43" s="13" t="inlineStr">
        <is>
          <t>TC-WEB-042</t>
        </is>
      </c>
      <c r="B43" s="13" t="inlineStr">
        <is>
          <t>Pricing</t>
        </is>
      </c>
      <c r="C43" s="13" t="inlineStr">
        <is>
          <t>Includes</t>
        </is>
      </c>
      <c r="D43" s="13" t="inlineStr">
        <is>
          <t>"Every plan includes" section renders all 6 items</t>
        </is>
      </c>
      <c r="E43" s="13" t="inlineStr">
        <is>
          <t>UI</t>
        </is>
      </c>
      <c r="F43" s="13" t="inlineStr">
        <is>
          <t>P4</t>
        </is>
      </c>
      <c r="G43" s="13" t="inlineStr">
        <is>
          <t>Guest, clean browser (no localStorage)</t>
        </is>
      </c>
      <c r="H43" s="13" t="inlineStr"/>
      <c r="I43" s="13" t="inlineStr">
        <is>
          <t>1. Scroll to the bottom of /prices</t>
        </is>
      </c>
      <c r="J43" s="13" t="inlineStr">
        <is>
          <t>6 items with icons visible in both languages</t>
        </is>
      </c>
      <c r="K43" s="13" t="inlineStr"/>
      <c r="L43" s="14" t="inlineStr">
        <is>
          <t>Not Run</t>
        </is>
      </c>
      <c r="M43" s="14" t="inlineStr"/>
      <c r="N43" s="14" t="inlineStr"/>
      <c r="O43" s="14" t="inlineStr"/>
      <c r="P43" s="14" t="inlineStr"/>
      <c r="Q43" s="14" t="inlineStr"/>
    </row>
    <row r="44">
      <c r="A44" s="13" t="inlineStr">
        <is>
          <t>TC-WEB-043</t>
        </is>
      </c>
      <c r="B44" s="13" t="inlineStr">
        <is>
          <t>Custom box</t>
        </is>
      </c>
      <c r="C44" s="13" t="inlineStr">
        <is>
          <t>Catalogue</t>
        </is>
      </c>
      <c r="D44" s="13" t="inlineStr">
        <is>
          <t>Category filter shows the right items</t>
        </is>
      </c>
      <c r="E44" s="13" t="inlineStr">
        <is>
          <t>Functional</t>
        </is>
      </c>
      <c r="F44" s="13" t="inlineStr">
        <is>
          <t>P3</t>
        </is>
      </c>
      <c r="G44" s="13" t="inlineStr">
        <is>
          <t>Guest, clean browser (no localStorage)</t>
        </is>
      </c>
      <c r="H44" s="13" t="inlineStr"/>
      <c r="I44" s="13" t="inlineStr">
        <is>
          <t>1. On /prices, Build your own box: click Treats, Toys, Grooming, Accessories, All</t>
        </is>
      </c>
      <c r="J44" s="13" t="inlineStr">
        <is>
          <t>Each filter shows only its items; All shows everything</t>
        </is>
      </c>
      <c r="K44" s="13" t="inlineStr"/>
      <c r="L44" s="14" t="inlineStr">
        <is>
          <t>Not Run</t>
        </is>
      </c>
      <c r="M44" s="14" t="inlineStr"/>
      <c r="N44" s="14" t="inlineStr"/>
      <c r="O44" s="14" t="inlineStr"/>
      <c r="P44" s="14" t="inlineStr"/>
      <c r="Q44" s="14" t="inlineStr"/>
    </row>
    <row r="45">
      <c r="A45" s="13" t="inlineStr">
        <is>
          <t>TC-WEB-044</t>
        </is>
      </c>
      <c r="B45" s="13" t="inlineStr">
        <is>
          <t>Custom box</t>
        </is>
      </c>
      <c r="C45" s="13" t="inlineStr">
        <is>
          <t>Selection</t>
        </is>
      </c>
      <c r="D45" s="13" t="inlineStr">
        <is>
          <t>Add and remove items updates count and total</t>
        </is>
      </c>
      <c r="E45" s="13" t="inlineStr">
        <is>
          <t>Functional</t>
        </is>
      </c>
      <c r="F45" s="13" t="inlineStr">
        <is>
          <t>P2</t>
        </is>
      </c>
      <c r="G45" s="13" t="inlineStr">
        <is>
          <t>Guest, clean browser (no localStorage)</t>
        </is>
      </c>
      <c r="H45" s="13" t="inlineStr">
        <is>
          <t>Meat Chews ₾8 ×2, Squeaky Duck ₾12</t>
        </is>
      </c>
      <c r="I45" s="13" t="inlineStr">
        <is>
          <t>1. Add Meat Chews twice
2. Add Squeaky Duck
3. Remove one Meat Chews</t>
        </is>
      </c>
      <c r="J45" s="13" t="inlineStr">
        <is>
          <t>Count and total update on each click; curation fee ₾10 added once</t>
        </is>
      </c>
      <c r="K45" s="13" t="inlineStr"/>
      <c r="L45" s="14" t="inlineStr">
        <is>
          <t>Not Run</t>
        </is>
      </c>
      <c r="M45" s="14" t="inlineStr"/>
      <c r="N45" s="14" t="inlineStr"/>
      <c r="O45" s="14" t="inlineStr"/>
      <c r="P45" s="14" t="inlineStr"/>
      <c r="Q45" s="14" t="inlineStr"/>
    </row>
    <row r="46">
      <c r="A46" s="13" t="inlineStr">
        <is>
          <t>TC-WEB-045</t>
        </is>
      </c>
      <c r="B46" s="13" t="inlineStr">
        <is>
          <t>Custom box</t>
        </is>
      </c>
      <c r="C46" s="13" t="inlineStr">
        <is>
          <t>Selection</t>
        </is>
      </c>
      <c r="D46" s="13" t="inlineStr">
        <is>
          <t>Order button disabled until 3 items</t>
        </is>
      </c>
      <c r="E46" s="13" t="inlineStr">
        <is>
          <t>Negative</t>
        </is>
      </c>
      <c r="F46" s="13" t="inlineStr">
        <is>
          <t>P2</t>
        </is>
      </c>
      <c r="G46" s="13" t="inlineStr">
        <is>
          <t>Guest, clean browser (no localStorage)</t>
        </is>
      </c>
      <c r="H46" s="13" t="inlineStr"/>
      <c r="I46" s="13" t="inlineStr">
        <is>
          <t>1. Add 2 items
2. Add a 3rd item</t>
        </is>
      </c>
      <c r="J46" s="13" t="inlineStr">
        <is>
          <t>Button disabled with 2 items; enabled and shows "Ready" with 3</t>
        </is>
      </c>
      <c r="K46" s="13" t="inlineStr"/>
      <c r="L46" s="14" t="inlineStr">
        <is>
          <t>Not Run</t>
        </is>
      </c>
      <c r="M46" s="14" t="inlineStr"/>
      <c r="N46" s="14" t="inlineStr"/>
      <c r="O46" s="14" t="inlineStr"/>
      <c r="P46" s="14" t="inlineStr"/>
      <c r="Q46" s="14" t="inlineStr"/>
    </row>
    <row r="47">
      <c r="A47" s="13" t="inlineStr">
        <is>
          <t>TC-WEB-046</t>
        </is>
      </c>
      <c r="B47" s="13" t="inlineStr">
        <is>
          <t>Custom box</t>
        </is>
      </c>
      <c r="C47" s="13" t="inlineStr">
        <is>
          <t>Gift</t>
        </is>
      </c>
      <c r="D47" s="13" t="inlineStr">
        <is>
          <t>Gift mode adds ₾5 wrapping fee</t>
        </is>
      </c>
      <c r="E47" s="13" t="inlineStr">
        <is>
          <t>Functional</t>
        </is>
      </c>
      <c r="F47" s="13" t="inlineStr">
        <is>
          <t>P3</t>
        </is>
      </c>
      <c r="G47" s="13" t="inlineStr">
        <is>
          <t>Guest, clean browser (no localStorage)</t>
        </is>
      </c>
      <c r="H47" s="13" t="inlineStr"/>
      <c r="I47" s="13" t="inlineStr">
        <is>
          <t>1. Select 3 items
2. Toggle Give as a Gift</t>
        </is>
      </c>
      <c r="J47" s="13" t="inlineStr">
        <is>
          <t>Total increases by ₾5; amber styling and gift note shown</t>
        </is>
      </c>
      <c r="K47" s="13" t="inlineStr"/>
      <c r="L47" s="14" t="inlineStr">
        <is>
          <t>Not Run</t>
        </is>
      </c>
      <c r="M47" s="14" t="inlineStr"/>
      <c r="N47" s="14" t="inlineStr"/>
      <c r="O47" s="14" t="inlineStr"/>
      <c r="P47" s="14" t="inlineStr"/>
      <c r="Q47" s="14" t="inlineStr"/>
    </row>
    <row r="48">
      <c r="A48" s="13" t="inlineStr">
        <is>
          <t>TC-WEB-047</t>
        </is>
      </c>
      <c r="B48" s="13" t="inlineStr">
        <is>
          <t>Custom box</t>
        </is>
      </c>
      <c r="C48" s="13" t="inlineStr">
        <is>
          <t>Order</t>
        </is>
      </c>
      <c r="D48" s="13" t="inlineStr">
        <is>
          <t>Ordering a custom box carries the selected items to checkout</t>
        </is>
      </c>
      <c r="E48" s="13" t="inlineStr">
        <is>
          <t>Functional</t>
        </is>
      </c>
      <c r="F48" s="13" t="inlineStr">
        <is>
          <t>P1</t>
        </is>
      </c>
      <c r="G48" s="13" t="inlineStr">
        <is>
          <t>Guest, clean browser (no localStorage); cart empty</t>
        </is>
      </c>
      <c r="H48" s="13" t="inlineStr">
        <is>
          <t>3 items</t>
        </is>
      </c>
      <c r="I48" s="13" t="inlineStr">
        <is>
          <t>1. Select 3 items
2. Click Order Custom Box
3. Check the checkout order summary</t>
        </is>
      </c>
      <c r="J48" s="13" t="inlineStr">
        <is>
          <t>Checkout shows the custom box with the selected items and the same total</t>
        </is>
      </c>
      <c r="K48" s="13" t="inlineStr">
        <is>
          <t>D-02</t>
        </is>
      </c>
      <c r="L48" s="14" t="inlineStr">
        <is>
          <t>Not Run</t>
        </is>
      </c>
      <c r="M48" s="14" t="inlineStr"/>
      <c r="N48" s="14" t="inlineStr"/>
      <c r="O48" s="14" t="inlineStr"/>
      <c r="P48" s="14" t="inlineStr"/>
      <c r="Q48" s="14" t="inlineStr"/>
    </row>
    <row r="49">
      <c r="A49" s="13" t="inlineStr">
        <is>
          <t>TC-WEB-048</t>
        </is>
      </c>
      <c r="B49" s="13" t="inlineStr">
        <is>
          <t>Shop</t>
        </is>
      </c>
      <c r="C49" s="13" t="inlineStr">
        <is>
          <t>Listing</t>
        </is>
      </c>
      <c r="D49" s="13" t="inlineStr">
        <is>
          <t>Shop lists active products with image, name, price, stock</t>
        </is>
      </c>
      <c r="E49" s="13" t="inlineStr">
        <is>
          <t>Functional</t>
        </is>
      </c>
      <c r="F49" s="13" t="inlineStr">
        <is>
          <t>P1</t>
        </is>
      </c>
      <c r="G49" s="13" t="inlineStr">
        <is>
          <t>Guest, clean browser (no localStorage)</t>
        </is>
      </c>
      <c r="H49" s="13" t="inlineStr">
        <is>
          <t>6 products</t>
        </is>
      </c>
      <c r="I49" s="13" t="inlineStr">
        <is>
          <t>1. Open /shop</t>
        </is>
      </c>
      <c r="J49" s="13" t="inlineStr">
        <is>
          <t>All 6 products show with price and stock badge</t>
        </is>
      </c>
      <c r="K49" s="13" t="inlineStr"/>
      <c r="L49" s="14" t="inlineStr">
        <is>
          <t>Not Run</t>
        </is>
      </c>
      <c r="M49" s="14" t="inlineStr"/>
      <c r="N49" s="14" t="inlineStr"/>
      <c r="O49" s="14" t="inlineStr"/>
      <c r="P49" s="14" t="inlineStr"/>
      <c r="Q49" s="14" t="inlineStr"/>
    </row>
    <row r="50">
      <c r="A50" s="13" t="inlineStr">
        <is>
          <t>TC-WEB-049</t>
        </is>
      </c>
      <c r="B50" s="13" t="inlineStr">
        <is>
          <t>Shop</t>
        </is>
      </c>
      <c r="C50" s="13" t="inlineStr">
        <is>
          <t>Listing</t>
        </is>
      </c>
      <c r="D50" s="13" t="inlineStr">
        <is>
          <t>Stock badges are correct</t>
        </is>
      </c>
      <c r="E50" s="13" t="inlineStr">
        <is>
          <t>Functional</t>
        </is>
      </c>
      <c r="F50" s="13" t="inlineStr">
        <is>
          <t>P2</t>
        </is>
      </c>
      <c r="G50" s="13" t="inlineStr">
        <is>
          <t>Guest, clean browser (no localStorage)</t>
        </is>
      </c>
      <c r="H50" s="13" t="inlineStr">
        <is>
          <t>rope-tug-toy = 0, chicken-jerky-treats = 3 (low), blueberry-biscuits = 180</t>
        </is>
      </c>
      <c r="I50" s="13" t="inlineStr">
        <is>
          <t>1. Open /shop</t>
        </is>
      </c>
      <c r="J50" s="13" t="inlineStr">
        <is>
          <t>Out of stock / Low stock / In stock shown accordingly</t>
        </is>
      </c>
      <c r="K50" s="13" t="inlineStr"/>
      <c r="L50" s="14" t="inlineStr">
        <is>
          <t>Not Run</t>
        </is>
      </c>
      <c r="M50" s="14" t="inlineStr"/>
      <c r="N50" s="14" t="inlineStr"/>
      <c r="O50" s="14" t="inlineStr"/>
      <c r="P50" s="14" t="inlineStr"/>
      <c r="Q50" s="14" t="inlineStr"/>
    </row>
    <row r="51">
      <c r="A51" s="13" t="inlineStr">
        <is>
          <t>TC-WEB-050</t>
        </is>
      </c>
      <c r="B51" s="13" t="inlineStr">
        <is>
          <t>Shop</t>
        </is>
      </c>
      <c r="C51" s="13" t="inlineStr">
        <is>
          <t>Listing</t>
        </is>
      </c>
      <c r="D51" s="13" t="inlineStr">
        <is>
          <t>Sale price shows with strikethrough original</t>
        </is>
      </c>
      <c r="E51" s="13" t="inlineStr">
        <is>
          <t>UI</t>
        </is>
      </c>
      <c r="F51" s="13" t="inlineStr">
        <is>
          <t>P3</t>
        </is>
      </c>
      <c r="G51" s="13" t="inlineStr">
        <is>
          <t>A product has a sale price</t>
        </is>
      </c>
      <c r="H51" s="13" t="inlineStr"/>
      <c r="I51" s="13" t="inlineStr">
        <is>
          <t>1. Open /shop</t>
        </is>
      </c>
      <c r="J51" s="13" t="inlineStr">
        <is>
          <t>Sale price in teal and original price struck through</t>
        </is>
      </c>
      <c r="K51" s="13" t="inlineStr"/>
      <c r="L51" s="14" t="inlineStr">
        <is>
          <t>Not Run</t>
        </is>
      </c>
      <c r="M51" s="14" t="inlineStr"/>
      <c r="N51" s="14" t="inlineStr"/>
      <c r="O51" s="14" t="inlineStr"/>
      <c r="P51" s="14" t="inlineStr"/>
      <c r="Q51" s="14" t="inlineStr"/>
    </row>
    <row r="52">
      <c r="A52" s="13" t="inlineStr">
        <is>
          <t>TC-WEB-051</t>
        </is>
      </c>
      <c r="B52" s="13" t="inlineStr">
        <is>
          <t>Shop</t>
        </is>
      </c>
      <c r="C52" s="13" t="inlineStr">
        <is>
          <t>Categories</t>
        </is>
      </c>
      <c r="D52" s="13" t="inlineStr">
        <is>
          <t>Filter by category</t>
        </is>
      </c>
      <c r="E52" s="13" t="inlineStr">
        <is>
          <t>Functional</t>
        </is>
      </c>
      <c r="F52" s="13" t="inlineStr">
        <is>
          <t>P2</t>
        </is>
      </c>
      <c r="G52" s="13" t="inlineStr">
        <is>
          <t>Guest, clean browser (no localStorage)</t>
        </is>
      </c>
      <c r="H52" s="13" t="inlineStr">
        <is>
          <t>Treats, Toys, Accessories, Grooming</t>
        </is>
      </c>
      <c r="I52" s="13" t="inlineStr">
        <is>
          <t>1. Click each category</t>
        </is>
      </c>
      <c r="J52" s="13" t="inlineStr">
        <is>
          <t>Only that category's products show; "All Products" resets</t>
        </is>
      </c>
      <c r="K52" s="13" t="inlineStr"/>
      <c r="L52" s="14" t="inlineStr">
        <is>
          <t>Not Run</t>
        </is>
      </c>
      <c r="M52" s="14" t="inlineStr"/>
      <c r="N52" s="14" t="inlineStr"/>
      <c r="O52" s="14" t="inlineStr"/>
      <c r="P52" s="14" t="inlineStr"/>
      <c r="Q52" s="14" t="inlineStr"/>
    </row>
    <row r="53">
      <c r="A53" s="13" t="inlineStr">
        <is>
          <t>TC-WEB-052</t>
        </is>
      </c>
      <c r="B53" s="13" t="inlineStr">
        <is>
          <t>Shop</t>
        </is>
      </c>
      <c r="C53" s="13" t="inlineStr">
        <is>
          <t>Categories</t>
        </is>
      </c>
      <c r="D53" s="13" t="inlineStr">
        <is>
          <t>No test/junk categories are visible</t>
        </is>
      </c>
      <c r="E53" s="13" t="inlineStr">
        <is>
          <t>Functional</t>
        </is>
      </c>
      <c r="F53" s="13" t="inlineStr">
        <is>
          <t>P2</t>
        </is>
      </c>
      <c r="G53" s="13" t="inlineStr">
        <is>
          <t>Guest, clean browser (no localStorage)</t>
        </is>
      </c>
      <c r="H53" s="13" t="inlineStr">
        <is>
          <t>Category "test" (slug t) exists in DB</t>
        </is>
      </c>
      <c r="I53" s="13" t="inlineStr">
        <is>
          <t>1. Open /shop</t>
        </is>
      </c>
      <c r="J53" s="13" t="inlineStr">
        <is>
          <t>Only real categories shown</t>
        </is>
      </c>
      <c r="K53" s="13" t="inlineStr">
        <is>
          <t>D-24</t>
        </is>
      </c>
      <c r="L53" s="14" t="inlineStr">
        <is>
          <t>Not Run</t>
        </is>
      </c>
      <c r="M53" s="14" t="inlineStr"/>
      <c r="N53" s="14" t="inlineStr"/>
      <c r="O53" s="14" t="inlineStr"/>
      <c r="P53" s="14" t="inlineStr"/>
      <c r="Q53" s="14" t="inlineStr"/>
    </row>
    <row r="54">
      <c r="A54" s="13" t="inlineStr">
        <is>
          <t>TC-WEB-053</t>
        </is>
      </c>
      <c r="B54" s="13" t="inlineStr">
        <is>
          <t>Shop</t>
        </is>
      </c>
      <c r="C54" s="13" t="inlineStr">
        <is>
          <t>Brands</t>
        </is>
      </c>
      <c r="D54" s="13" t="inlineStr">
        <is>
          <t>Filter by brand and clear it</t>
        </is>
      </c>
      <c r="E54" s="13" t="inlineStr">
        <is>
          <t>Functional</t>
        </is>
      </c>
      <c r="F54" s="13" t="inlineStr">
        <is>
          <t>P3</t>
        </is>
      </c>
      <c r="G54" s="13" t="inlineStr">
        <is>
          <t>Guest, clean browser (no localStorage)</t>
        </is>
      </c>
      <c r="H54" s="13" t="inlineStr"/>
      <c r="I54" s="13" t="inlineStr">
        <is>
          <t>1. Click a brand
2. Click it again / Clear</t>
        </is>
      </c>
      <c r="J54" s="13" t="inlineStr">
        <is>
          <t>Filtered list, then full list</t>
        </is>
      </c>
      <c r="K54" s="13" t="inlineStr"/>
      <c r="L54" s="14" t="inlineStr">
        <is>
          <t>Not Run</t>
        </is>
      </c>
      <c r="M54" s="14" t="inlineStr"/>
      <c r="N54" s="14" t="inlineStr"/>
      <c r="O54" s="14" t="inlineStr"/>
      <c r="P54" s="14" t="inlineStr"/>
      <c r="Q54" s="14" t="inlineStr"/>
    </row>
    <row r="55">
      <c r="A55" s="13" t="inlineStr">
        <is>
          <t>TC-WEB-054</t>
        </is>
      </c>
      <c r="B55" s="13" t="inlineStr">
        <is>
          <t>Shop</t>
        </is>
      </c>
      <c r="C55" s="13" t="inlineStr">
        <is>
          <t>Search</t>
        </is>
      </c>
      <c r="D55" s="13" t="inlineStr">
        <is>
          <t>Search by product name</t>
        </is>
      </c>
      <c r="E55" s="13" t="inlineStr">
        <is>
          <t>Functional</t>
        </is>
      </c>
      <c r="F55" s="13" t="inlineStr">
        <is>
          <t>P2</t>
        </is>
      </c>
      <c r="G55" s="13" t="inlineStr">
        <is>
          <t>Guest, clean browser (no localStorage)</t>
        </is>
      </c>
      <c r="H55" s="13" t="inlineStr">
        <is>
          <t>"jerky"</t>
        </is>
      </c>
      <c r="I55" s="13" t="inlineStr">
        <is>
          <t>1. Type jerky in search and press Enter</t>
        </is>
      </c>
      <c r="J55" s="13" t="inlineStr">
        <is>
          <t>Chicken Jerky Treats is shown; count updates</t>
        </is>
      </c>
      <c r="K55" s="13" t="inlineStr"/>
      <c r="L55" s="14" t="inlineStr">
        <is>
          <t>Not Run</t>
        </is>
      </c>
      <c r="M55" s="14" t="inlineStr"/>
      <c r="N55" s="14" t="inlineStr"/>
      <c r="O55" s="14" t="inlineStr"/>
      <c r="P55" s="14" t="inlineStr"/>
      <c r="Q55" s="14" t="inlineStr"/>
    </row>
    <row r="56">
      <c r="A56" s="13" t="inlineStr">
        <is>
          <t>TC-WEB-055</t>
        </is>
      </c>
      <c r="B56" s="13" t="inlineStr">
        <is>
          <t>Shop</t>
        </is>
      </c>
      <c r="C56" s="13" t="inlineStr">
        <is>
          <t>Search</t>
        </is>
      </c>
      <c r="D56" s="13" t="inlineStr">
        <is>
          <t>Search with no matches</t>
        </is>
      </c>
      <c r="E56" s="13" t="inlineStr">
        <is>
          <t>Negative</t>
        </is>
      </c>
      <c r="F56" s="13" t="inlineStr">
        <is>
          <t>P3</t>
        </is>
      </c>
      <c r="G56" s="13" t="inlineStr">
        <is>
          <t>Guest, clean browser (no localStorage)</t>
        </is>
      </c>
      <c r="H56" s="13" t="inlineStr">
        <is>
          <t>"zzzz"</t>
        </is>
      </c>
      <c r="I56" s="13" t="inlineStr">
        <is>
          <t>1. Search zzzz</t>
        </is>
      </c>
      <c r="J56" s="13" t="inlineStr">
        <is>
          <t>"No products found" with a Clear filters link</t>
        </is>
      </c>
      <c r="K56" s="13" t="inlineStr"/>
      <c r="L56" s="14" t="inlineStr">
        <is>
          <t>Not Run</t>
        </is>
      </c>
      <c r="M56" s="14" t="inlineStr"/>
      <c r="N56" s="14" t="inlineStr"/>
      <c r="O56" s="14" t="inlineStr"/>
      <c r="P56" s="14" t="inlineStr"/>
      <c r="Q56" s="14" t="inlineStr"/>
    </row>
    <row r="57">
      <c r="A57" s="13" t="inlineStr">
        <is>
          <t>TC-WEB-056</t>
        </is>
      </c>
      <c r="B57" s="13" t="inlineStr">
        <is>
          <t>Shop</t>
        </is>
      </c>
      <c r="C57" s="13" t="inlineStr">
        <is>
          <t>Search</t>
        </is>
      </c>
      <c r="D57" s="13" t="inlineStr">
        <is>
          <t>Search keeps the current category and sort</t>
        </is>
      </c>
      <c r="E57" s="13" t="inlineStr">
        <is>
          <t>Functional</t>
        </is>
      </c>
      <c r="F57" s="13" t="inlineStr">
        <is>
          <t>P3</t>
        </is>
      </c>
      <c r="G57" s="13" t="inlineStr">
        <is>
          <t>Guest, clean browser (no localStorage)</t>
        </is>
      </c>
      <c r="H57" s="13" t="inlineStr"/>
      <c r="I57" s="13" t="inlineStr">
        <is>
          <t>1. Pick Treats and sort by price
2. Search "bis"</t>
        </is>
      </c>
      <c r="J57" s="13" t="inlineStr">
        <is>
          <t>Results stay within Treats and sorted</t>
        </is>
      </c>
      <c r="K57" s="13" t="inlineStr"/>
      <c r="L57" s="14" t="inlineStr">
        <is>
          <t>Not Run</t>
        </is>
      </c>
      <c r="M57" s="14" t="inlineStr"/>
      <c r="N57" s="14" t="inlineStr"/>
      <c r="O57" s="14" t="inlineStr"/>
      <c r="P57" s="14" t="inlineStr"/>
      <c r="Q57" s="14" t="inlineStr"/>
    </row>
    <row r="58">
      <c r="A58" s="13" t="inlineStr">
        <is>
          <t>TC-WEB-057</t>
        </is>
      </c>
      <c r="B58" s="13" t="inlineStr">
        <is>
          <t>Shop</t>
        </is>
      </c>
      <c r="C58" s="13" t="inlineStr">
        <is>
          <t>Search</t>
        </is>
      </c>
      <c r="D58" s="13" t="inlineStr">
        <is>
          <t>Special characters in search are safe</t>
        </is>
      </c>
      <c r="E58" s="13" t="inlineStr">
        <is>
          <t>Security</t>
        </is>
      </c>
      <c r="F58" s="13" t="inlineStr">
        <is>
          <t>P3</t>
        </is>
      </c>
      <c r="G58" s="13" t="inlineStr">
        <is>
          <t>Guest, clean browser (no localStorage)</t>
        </is>
      </c>
      <c r="H58" s="13" t="inlineStr">
        <is>
          <t>&lt;script&gt;alert(1)&lt;/script&gt;, %, ' "</t>
        </is>
      </c>
      <c r="I58" s="13" t="inlineStr">
        <is>
          <t>1. Search each value</t>
        </is>
      </c>
      <c r="J58" s="13" t="inlineStr">
        <is>
          <t>No script runs, no error page; treated as text</t>
        </is>
      </c>
      <c r="K58" s="13" t="inlineStr"/>
      <c r="L58" s="14" t="inlineStr">
        <is>
          <t>Not Run</t>
        </is>
      </c>
      <c r="M58" s="14" t="inlineStr"/>
      <c r="N58" s="14" t="inlineStr"/>
      <c r="O58" s="14" t="inlineStr"/>
      <c r="P58" s="14" t="inlineStr"/>
      <c r="Q58" s="14" t="inlineStr"/>
    </row>
    <row r="59">
      <c r="A59" s="13" t="inlineStr">
        <is>
          <t>TC-WEB-058</t>
        </is>
      </c>
      <c r="B59" s="13" t="inlineStr">
        <is>
          <t>Shop</t>
        </is>
      </c>
      <c r="C59" s="13" t="inlineStr">
        <is>
          <t>Sort</t>
        </is>
      </c>
      <c r="D59" s="13" t="inlineStr">
        <is>
          <t>Sort options order products correctly</t>
        </is>
      </c>
      <c r="E59" s="13" t="inlineStr">
        <is>
          <t>Functional</t>
        </is>
      </c>
      <c r="F59" s="13" t="inlineStr">
        <is>
          <t>P2</t>
        </is>
      </c>
      <c r="G59" s="13" t="inlineStr">
        <is>
          <t>Guest, clean browser (no localStorage)</t>
        </is>
      </c>
      <c r="H59" s="13" t="inlineStr"/>
      <c r="I59" s="13" t="inlineStr">
        <is>
          <t>1. Choose each sort option</t>
        </is>
      </c>
      <c r="J59" s="13" t="inlineStr">
        <is>
          <t>Price low→high, high→low, A→Z, Z→A each order correctly</t>
        </is>
      </c>
      <c r="K59" s="13" t="inlineStr"/>
      <c r="L59" s="14" t="inlineStr">
        <is>
          <t>Not Run</t>
        </is>
      </c>
      <c r="M59" s="14" t="inlineStr"/>
      <c r="N59" s="14" t="inlineStr"/>
      <c r="O59" s="14" t="inlineStr"/>
      <c r="P59" s="14" t="inlineStr"/>
      <c r="Q59" s="14" t="inlineStr"/>
    </row>
    <row r="60">
      <c r="A60" s="13" t="inlineStr">
        <is>
          <t>TC-WEB-059</t>
        </is>
      </c>
      <c r="B60" s="13" t="inlineStr">
        <is>
          <t>Shop</t>
        </is>
      </c>
      <c r="C60" s="13" t="inlineStr">
        <is>
          <t>Sort</t>
        </is>
      </c>
      <c r="D60" s="13" t="inlineStr">
        <is>
          <t>Default sort option is labelled correctly</t>
        </is>
      </c>
      <c r="E60" s="13" t="inlineStr">
        <is>
          <t>UI</t>
        </is>
      </c>
      <c r="F60" s="13" t="inlineStr">
        <is>
          <t>P3</t>
        </is>
      </c>
      <c r="G60" s="13" t="inlineStr">
        <is>
          <t>Guest, clean browser (no localStorage)</t>
        </is>
      </c>
      <c r="H60" s="13" t="inlineStr"/>
      <c r="I60" s="13" t="inlineStr">
        <is>
          <t>1. Open /shop and read the sort dropdown</t>
        </is>
      </c>
      <c r="J60" s="13" t="inlineStr">
        <is>
          <t>Default label matches the actual order (e.g. "Featured"/"Newest"), not "Price: Low → High"</t>
        </is>
      </c>
      <c r="K60" s="13" t="inlineStr">
        <is>
          <t>D-09</t>
        </is>
      </c>
      <c r="L60" s="14" t="inlineStr">
        <is>
          <t>Not Run</t>
        </is>
      </c>
      <c r="M60" s="14" t="inlineStr"/>
      <c r="N60" s="14" t="inlineStr"/>
      <c r="O60" s="14" t="inlineStr"/>
      <c r="P60" s="14" t="inlineStr"/>
      <c r="Q60" s="14" t="inlineStr"/>
    </row>
    <row r="61">
      <c r="A61" s="13" t="inlineStr">
        <is>
          <t>TC-WEB-060</t>
        </is>
      </c>
      <c r="B61" s="13" t="inlineStr">
        <is>
          <t>Shop</t>
        </is>
      </c>
      <c r="C61" s="13" t="inlineStr">
        <is>
          <t>Sort</t>
        </is>
      </c>
      <c r="D61" s="13" t="inlineStr">
        <is>
          <t>Sort and brand filter apply across all pages</t>
        </is>
      </c>
      <c r="E61" s="13" t="inlineStr">
        <is>
          <t>Functional</t>
        </is>
      </c>
      <c r="F61" s="13" t="inlineStr">
        <is>
          <t>P2</t>
        </is>
      </c>
      <c r="G61" s="13" t="inlineStr">
        <is>
          <t>More products than one page</t>
        </is>
      </c>
      <c r="H61" s="13" t="inlineStr"/>
      <c r="I61" s="13" t="inlineStr">
        <is>
          <t>1. Sort by price low→high
2. Go to page 2</t>
        </is>
      </c>
      <c r="J61" s="13" t="inlineStr">
        <is>
          <t>Page 2 continues the global order; brand filter never yields empty pages while matches exist</t>
        </is>
      </c>
      <c r="K61" s="13" t="inlineStr">
        <is>
          <t>D-10</t>
        </is>
      </c>
      <c r="L61" s="14" t="inlineStr">
        <is>
          <t>Not Run</t>
        </is>
      </c>
      <c r="M61" s="14" t="inlineStr"/>
      <c r="N61" s="14" t="inlineStr"/>
      <c r="O61" s="14" t="inlineStr"/>
      <c r="P61" s="14" t="inlineStr"/>
      <c r="Q61" s="14" t="inlineStr"/>
    </row>
    <row r="62">
      <c r="A62" s="13" t="inlineStr">
        <is>
          <t>TC-WEB-061</t>
        </is>
      </c>
      <c r="B62" s="13" t="inlineStr">
        <is>
          <t>Shop</t>
        </is>
      </c>
      <c r="C62" s="13" t="inlineStr">
        <is>
          <t>Pagination</t>
        </is>
      </c>
      <c r="D62" s="13" t="inlineStr">
        <is>
          <t>Pagination keeps filters and highlights current page</t>
        </is>
      </c>
      <c r="E62" s="13" t="inlineStr">
        <is>
          <t>Functional</t>
        </is>
      </c>
      <c r="F62" s="13" t="inlineStr">
        <is>
          <t>P3</t>
        </is>
      </c>
      <c r="G62" s="13" t="inlineStr">
        <is>
          <t>More products than one page</t>
        </is>
      </c>
      <c r="H62" s="13" t="inlineStr"/>
      <c r="I62" s="13" t="inlineStr">
        <is>
          <t>1. Filter by category
2. Go to page 2</t>
        </is>
      </c>
      <c r="J62" s="13" t="inlineStr">
        <is>
          <t>Filter retained; page 2 highlighted</t>
        </is>
      </c>
      <c r="K62" s="13" t="inlineStr"/>
      <c r="L62" s="14" t="inlineStr">
        <is>
          <t>Not Run</t>
        </is>
      </c>
      <c r="M62" s="14" t="inlineStr"/>
      <c r="N62" s="14" t="inlineStr"/>
      <c r="O62" s="14" t="inlineStr"/>
      <c r="P62" s="14" t="inlineStr"/>
      <c r="Q62" s="14" t="inlineStr"/>
    </row>
    <row r="63">
      <c r="A63" s="13" t="inlineStr">
        <is>
          <t>TC-WEB-062</t>
        </is>
      </c>
      <c r="B63" s="13" t="inlineStr">
        <is>
          <t>Shop</t>
        </is>
      </c>
      <c r="C63" s="13" t="inlineStr">
        <is>
          <t>Listing</t>
        </is>
      </c>
      <c r="D63" s="13" t="inlineStr">
        <is>
          <t>Product count reflects the full result, not just this page</t>
        </is>
      </c>
      <c r="E63" s="13" t="inlineStr">
        <is>
          <t>Functional</t>
        </is>
      </c>
      <c r="F63" s="13" t="inlineStr">
        <is>
          <t>P3</t>
        </is>
      </c>
      <c r="G63" s="13" t="inlineStr">
        <is>
          <t>More products than one page</t>
        </is>
      </c>
      <c r="H63" s="13" t="inlineStr"/>
      <c r="I63" s="13" t="inlineStr">
        <is>
          <t>1. Open /shop</t>
        </is>
      </c>
      <c r="J63" s="13" t="inlineStr">
        <is>
          <t>"N products" equals total matching products</t>
        </is>
      </c>
      <c r="K63" s="13" t="inlineStr">
        <is>
          <t>D-10</t>
        </is>
      </c>
      <c r="L63" s="14" t="inlineStr">
        <is>
          <t>Not Run</t>
        </is>
      </c>
      <c r="M63" s="14" t="inlineStr"/>
      <c r="N63" s="14" t="inlineStr"/>
      <c r="O63" s="14" t="inlineStr"/>
      <c r="P63" s="14" t="inlineStr"/>
      <c r="Q63" s="14" t="inlineStr"/>
    </row>
    <row r="64">
      <c r="A64" s="13" t="inlineStr">
        <is>
          <t>TC-WEB-063</t>
        </is>
      </c>
      <c r="B64" s="13" t="inlineStr">
        <is>
          <t>Product page</t>
        </is>
      </c>
      <c r="C64" s="13" t="inlineStr">
        <is>
          <t>Content</t>
        </is>
      </c>
      <c r="D64" s="13" t="inlineStr">
        <is>
          <t>Product page shows images, name, price, stock, description, breadcrumb</t>
        </is>
      </c>
      <c r="E64" s="13" t="inlineStr">
        <is>
          <t>Functional</t>
        </is>
      </c>
      <c r="F64" s="13" t="inlineStr">
        <is>
          <t>P1</t>
        </is>
      </c>
      <c r="G64" s="13" t="inlineStr">
        <is>
          <t>Guest, clean browser (no localStorage)</t>
        </is>
      </c>
      <c r="H64" s="13" t="inlineStr">
        <is>
          <t>blueberry-biscuits</t>
        </is>
      </c>
      <c r="I64" s="13" t="inlineStr">
        <is>
          <t>1. Open /shop/blueberry-biscuits</t>
        </is>
      </c>
      <c r="J64" s="13" t="inlineStr">
        <is>
          <t>All details shown; breadcrumb Shop / Category / Product works</t>
        </is>
      </c>
      <c r="K64" s="13" t="inlineStr"/>
      <c r="L64" s="14" t="inlineStr">
        <is>
          <t>Not Run</t>
        </is>
      </c>
      <c r="M64" s="14" t="inlineStr"/>
      <c r="N64" s="14" t="inlineStr"/>
      <c r="O64" s="14" t="inlineStr"/>
      <c r="P64" s="14" t="inlineStr"/>
      <c r="Q64" s="14" t="inlineStr"/>
    </row>
    <row r="65">
      <c r="A65" s="13" t="inlineStr">
        <is>
          <t>TC-WEB-064</t>
        </is>
      </c>
      <c r="B65" s="13" t="inlineStr">
        <is>
          <t>Product page</t>
        </is>
      </c>
      <c r="C65" s="13" t="inlineStr">
        <is>
          <t>Content</t>
        </is>
      </c>
      <c r="D65" s="13" t="inlineStr">
        <is>
          <t>Unknown product slug shows 404</t>
        </is>
      </c>
      <c r="E65" s="13" t="inlineStr">
        <is>
          <t>Negative</t>
        </is>
      </c>
      <c r="F65" s="13" t="inlineStr">
        <is>
          <t>P3</t>
        </is>
      </c>
      <c r="G65" s="13" t="inlineStr">
        <is>
          <t>Guest, clean browser (no localStorage)</t>
        </is>
      </c>
      <c r="H65" s="13" t="inlineStr">
        <is>
          <t>/shop/does-not-exist</t>
        </is>
      </c>
      <c r="I65" s="13" t="inlineStr">
        <is>
          <t>1. Open the URL</t>
        </is>
      </c>
      <c r="J65" s="13" t="inlineStr">
        <is>
          <t>Not-found page; title "Product not found"</t>
        </is>
      </c>
      <c r="K65" s="13" t="inlineStr"/>
      <c r="L65" s="14" t="inlineStr">
        <is>
          <t>Not Run</t>
        </is>
      </c>
      <c r="M65" s="14" t="inlineStr"/>
      <c r="N65" s="14" t="inlineStr"/>
      <c r="O65" s="14" t="inlineStr"/>
      <c r="P65" s="14" t="inlineStr"/>
      <c r="Q65" s="14" t="inlineStr"/>
    </row>
    <row r="66">
      <c r="A66" s="13" t="inlineStr">
        <is>
          <t>TC-WEB-065</t>
        </is>
      </c>
      <c r="B66" s="13" t="inlineStr">
        <is>
          <t>Product page</t>
        </is>
      </c>
      <c r="C66" s="13" t="inlineStr">
        <is>
          <t>Quantity</t>
        </is>
      </c>
      <c r="D66" s="13" t="inlineStr">
        <is>
          <t>Quantity stepper cannot go below 1</t>
        </is>
      </c>
      <c r="E66" s="13" t="inlineStr">
        <is>
          <t>Edge</t>
        </is>
      </c>
      <c r="F66" s="13" t="inlineStr">
        <is>
          <t>P3</t>
        </is>
      </c>
      <c r="G66" s="13" t="inlineStr">
        <is>
          <t>Guest, clean browser (no localStorage)</t>
        </is>
      </c>
      <c r="H66" s="13" t="inlineStr"/>
      <c r="I66" s="13" t="inlineStr">
        <is>
          <t>1. Click − at quantity 1</t>
        </is>
      </c>
      <c r="J66" s="13" t="inlineStr">
        <is>
          <t>Quantity stays 1</t>
        </is>
      </c>
      <c r="K66" s="13" t="inlineStr"/>
      <c r="L66" s="14" t="inlineStr">
        <is>
          <t>Not Run</t>
        </is>
      </c>
      <c r="M66" s="14" t="inlineStr"/>
      <c r="N66" s="14" t="inlineStr"/>
      <c r="O66" s="14" t="inlineStr"/>
      <c r="P66" s="14" t="inlineStr"/>
      <c r="Q66" s="14" t="inlineStr"/>
    </row>
    <row r="67">
      <c r="A67" s="13" t="inlineStr">
        <is>
          <t>TC-WEB-066</t>
        </is>
      </c>
      <c r="B67" s="13" t="inlineStr">
        <is>
          <t>Product page</t>
        </is>
      </c>
      <c r="C67" s="13" t="inlineStr">
        <is>
          <t>Quantity</t>
        </is>
      </c>
      <c r="D67" s="13" t="inlineStr">
        <is>
          <t>Quantity cannot exceed available stock</t>
        </is>
      </c>
      <c r="E67" s="13" t="inlineStr">
        <is>
          <t>Edge</t>
        </is>
      </c>
      <c r="F67" s="13" t="inlineStr">
        <is>
          <t>P2</t>
        </is>
      </c>
      <c r="G67" s="13" t="inlineStr">
        <is>
          <t>Guest, clean browser (no localStorage)</t>
        </is>
      </c>
      <c r="H67" s="13" t="inlineStr">
        <is>
          <t>chicken-jerky-treats (3 in stock)</t>
        </is>
      </c>
      <c r="I67" s="13" t="inlineStr">
        <is>
          <t>1. Set quantity to 5
2. Add to cart</t>
        </is>
      </c>
      <c r="J67" s="13" t="inlineStr">
        <is>
          <t>Prevented or clear message "Only 3 available"; cart never holds more than stock</t>
        </is>
      </c>
      <c r="K67" s="13" t="inlineStr">
        <is>
          <t>D-18</t>
        </is>
      </c>
      <c r="L67" s="14" t="inlineStr">
        <is>
          <t>Not Run</t>
        </is>
      </c>
      <c r="M67" s="14" t="inlineStr"/>
      <c r="N67" s="14" t="inlineStr"/>
      <c r="O67" s="14" t="inlineStr"/>
      <c r="P67" s="14" t="inlineStr"/>
      <c r="Q67" s="14" t="inlineStr"/>
    </row>
    <row r="68">
      <c r="A68" s="13" t="inlineStr">
        <is>
          <t>TC-WEB-067</t>
        </is>
      </c>
      <c r="B68" s="13" t="inlineStr">
        <is>
          <t>Product page</t>
        </is>
      </c>
      <c r="C68" s="13" t="inlineStr">
        <is>
          <t>Add to cart</t>
        </is>
      </c>
      <c r="D68" s="13" t="inlineStr">
        <is>
          <t>Add to cart adds item and offers View Cart</t>
        </is>
      </c>
      <c r="E68" s="13" t="inlineStr">
        <is>
          <t>Functional</t>
        </is>
      </c>
      <c r="F68" s="13" t="inlineStr">
        <is>
          <t>P1</t>
        </is>
      </c>
      <c r="G68" s="13" t="inlineStr">
        <is>
          <t>Guest, clean browser (no localStorage)</t>
        </is>
      </c>
      <c r="H68" s="13" t="inlineStr">
        <is>
          <t>blueberry-biscuits ×2</t>
        </is>
      </c>
      <c r="I68" s="13" t="inlineStr">
        <is>
          <t>1. Set qty 2
2. Add to Cart</t>
        </is>
      </c>
      <c r="J68" s="13" t="inlineStr">
        <is>
          <t>"✓ Added to Cart" shown; View Cart button opens /cart with 2 units</t>
        </is>
      </c>
      <c r="K68" s="13" t="inlineStr"/>
      <c r="L68" s="14" t="inlineStr">
        <is>
          <t>Not Run</t>
        </is>
      </c>
      <c r="M68" s="14" t="inlineStr"/>
      <c r="N68" s="14" t="inlineStr"/>
      <c r="O68" s="14" t="inlineStr"/>
      <c r="P68" s="14" t="inlineStr"/>
      <c r="Q68" s="14" t="inlineStr"/>
    </row>
    <row r="69">
      <c r="A69" s="13" t="inlineStr">
        <is>
          <t>TC-WEB-068</t>
        </is>
      </c>
      <c r="B69" s="13" t="inlineStr">
        <is>
          <t>Product page</t>
        </is>
      </c>
      <c r="C69" s="13" t="inlineStr">
        <is>
          <t>Add to cart</t>
        </is>
      </c>
      <c r="D69" s="13" t="inlineStr">
        <is>
          <t>Out-of-stock product cannot be added</t>
        </is>
      </c>
      <c r="E69" s="13" t="inlineStr">
        <is>
          <t>Negative</t>
        </is>
      </c>
      <c r="F69" s="13" t="inlineStr">
        <is>
          <t>P1</t>
        </is>
      </c>
      <c r="G69" s="13" t="inlineStr">
        <is>
          <t>Guest, clean browser (no localStorage)</t>
        </is>
      </c>
      <c r="H69" s="13" t="inlineStr">
        <is>
          <t>rope-tug-toy (0 stock)</t>
        </is>
      </c>
      <c r="I69" s="13" t="inlineStr">
        <is>
          <t>1. Open product
2. Try Add to Cart</t>
        </is>
      </c>
      <c r="J69" s="13" t="inlineStr">
        <is>
          <t>Button disabled, labelled Out of Stock</t>
        </is>
      </c>
      <c r="K69" s="13" t="inlineStr"/>
      <c r="L69" s="14" t="inlineStr">
        <is>
          <t>Not Run</t>
        </is>
      </c>
      <c r="M69" s="14" t="inlineStr"/>
      <c r="N69" s="14" t="inlineStr"/>
      <c r="O69" s="14" t="inlineStr"/>
      <c r="P69" s="14" t="inlineStr"/>
      <c r="Q69" s="14" t="inlineStr"/>
    </row>
    <row r="70">
      <c r="A70" s="13" t="inlineStr">
        <is>
          <t>TC-WEB-069</t>
        </is>
      </c>
      <c r="B70" s="13" t="inlineStr">
        <is>
          <t>Product page</t>
        </is>
      </c>
      <c r="C70" s="13" t="inlineStr">
        <is>
          <t>Add to cart</t>
        </is>
      </c>
      <c r="D70" s="13" t="inlineStr">
        <is>
          <t>Add to cart failure shows an error</t>
        </is>
      </c>
      <c r="E70" s="13" t="inlineStr">
        <is>
          <t>Negative</t>
        </is>
      </c>
      <c r="F70" s="13" t="inlineStr">
        <is>
          <t>P2</t>
        </is>
      </c>
      <c r="G70" s="13" t="inlineStr">
        <is>
          <t>API returns error (e.g. stop API)</t>
        </is>
      </c>
      <c r="H70" s="13" t="inlineStr"/>
      <c r="I70" s="13" t="inlineStr">
        <is>
          <t>1. Click Add to Cart</t>
        </is>
      </c>
      <c r="J70" s="13" t="inlineStr">
        <is>
          <t>User sees an error message; button recovers</t>
        </is>
      </c>
      <c r="K70" s="13" t="inlineStr">
        <is>
          <t>D-18</t>
        </is>
      </c>
      <c r="L70" s="14" t="inlineStr">
        <is>
          <t>Not Run</t>
        </is>
      </c>
      <c r="M70" s="14" t="inlineStr"/>
      <c r="N70" s="14" t="inlineStr"/>
      <c r="O70" s="14" t="inlineStr"/>
      <c r="P70" s="14" t="inlineStr"/>
      <c r="Q70" s="14" t="inlineStr"/>
    </row>
    <row r="71">
      <c r="A71" s="13" t="inlineStr">
        <is>
          <t>TC-WEB-070</t>
        </is>
      </c>
      <c r="B71" s="13" t="inlineStr">
        <is>
          <t>Product page</t>
        </is>
      </c>
      <c r="C71" s="13" t="inlineStr">
        <is>
          <t>Add to cart</t>
        </is>
      </c>
      <c r="D71" s="13" t="inlineStr">
        <is>
          <t>Adding the same product twice increases quantity</t>
        </is>
      </c>
      <c r="E71" s="13" t="inlineStr">
        <is>
          <t>Functional</t>
        </is>
      </c>
      <c r="F71" s="13" t="inlineStr">
        <is>
          <t>P2</t>
        </is>
      </c>
      <c r="G71" s="13" t="inlineStr">
        <is>
          <t>Guest, clean browser (no localStorage)</t>
        </is>
      </c>
      <c r="H71" s="13" t="inlineStr"/>
      <c r="I71" s="13" t="inlineStr">
        <is>
          <t>1. Add product
2. Add the same product again</t>
        </is>
      </c>
      <c r="J71" s="13" t="inlineStr">
        <is>
          <t>One cart line with quantity 2</t>
        </is>
      </c>
      <c r="K71" s="13" t="inlineStr"/>
      <c r="L71" s="14" t="inlineStr">
        <is>
          <t>Not Run</t>
        </is>
      </c>
      <c r="M71" s="14" t="inlineStr"/>
      <c r="N71" s="14" t="inlineStr"/>
      <c r="O71" s="14" t="inlineStr"/>
      <c r="P71" s="14" t="inlineStr"/>
      <c r="Q71" s="14" t="inlineStr"/>
    </row>
    <row r="72">
      <c r="A72" s="13" t="inlineStr">
        <is>
          <t>TC-WEB-071</t>
        </is>
      </c>
      <c r="B72" s="13" t="inlineStr">
        <is>
          <t>Product page</t>
        </is>
      </c>
      <c r="C72" s="13" t="inlineStr">
        <is>
          <t>SEO</t>
        </is>
      </c>
      <c r="D72" s="13" t="inlineStr">
        <is>
          <t>Product page has its own title and description</t>
        </is>
      </c>
      <c r="E72" s="13" t="inlineStr">
        <is>
          <t>SEO</t>
        </is>
      </c>
      <c r="F72" s="13" t="inlineStr">
        <is>
          <t>P3</t>
        </is>
      </c>
      <c r="G72" s="13" t="inlineStr">
        <is>
          <t>Guest, clean browser (no localStorage)</t>
        </is>
      </c>
      <c r="H72" s="13" t="inlineStr"/>
      <c r="I72" s="13" t="inlineStr">
        <is>
          <t>1. Open a product
2. Check tab title and meta description</t>
        </is>
      </c>
      <c r="J72" s="13" t="inlineStr">
        <is>
          <t>Uses product SEO title/description, suffixed "| Pupbox"</t>
        </is>
      </c>
      <c r="K72" s="13" t="inlineStr"/>
      <c r="L72" s="14" t="inlineStr">
        <is>
          <t>Not Run</t>
        </is>
      </c>
      <c r="M72" s="14" t="inlineStr"/>
      <c r="N72" s="14" t="inlineStr"/>
      <c r="O72" s="14" t="inlineStr"/>
      <c r="P72" s="14" t="inlineStr"/>
      <c r="Q72" s="14" t="inlineStr"/>
    </row>
    <row r="73">
      <c r="A73" s="13" t="inlineStr">
        <is>
          <t>TC-WEB-072</t>
        </is>
      </c>
      <c r="B73" s="13" t="inlineStr">
        <is>
          <t>Cart</t>
        </is>
      </c>
      <c r="C73" s="13" t="inlineStr">
        <is>
          <t>Empty</t>
        </is>
      </c>
      <c r="D73" s="13" t="inlineStr">
        <is>
          <t>Empty cart state</t>
        </is>
      </c>
      <c r="E73" s="13" t="inlineStr">
        <is>
          <t>UI</t>
        </is>
      </c>
      <c r="F73" s="13" t="inlineStr">
        <is>
          <t>P2</t>
        </is>
      </c>
      <c r="G73" s="13" t="inlineStr">
        <is>
          <t>Guest, clean browser (no localStorage)</t>
        </is>
      </c>
      <c r="H73" s="13" t="inlineStr"/>
      <c r="I73" s="13" t="inlineStr">
        <is>
          <t>1. Open /cart with nothing added</t>
        </is>
      </c>
      <c r="J73" s="13" t="inlineStr">
        <is>
          <t>"Your cart is empty" with Browse Products and View Plans links</t>
        </is>
      </c>
      <c r="K73" s="13" t="inlineStr"/>
      <c r="L73" s="14" t="inlineStr">
        <is>
          <t>Not Run</t>
        </is>
      </c>
      <c r="M73" s="14" t="inlineStr"/>
      <c r="N73" s="14" t="inlineStr"/>
      <c r="O73" s="14" t="inlineStr"/>
      <c r="P73" s="14" t="inlineStr"/>
      <c r="Q73" s="14" t="inlineStr"/>
    </row>
    <row r="74">
      <c r="A74" s="13" t="inlineStr">
        <is>
          <t>TC-WEB-073</t>
        </is>
      </c>
      <c r="B74" s="13" t="inlineStr">
        <is>
          <t>Cart</t>
        </is>
      </c>
      <c r="C74" s="13" t="inlineStr">
        <is>
          <t>Items</t>
        </is>
      </c>
      <c r="D74" s="13" t="inlineStr">
        <is>
          <t>Cart lists products and plans with correct line totals</t>
        </is>
      </c>
      <c r="E74" s="13" t="inlineStr">
        <is>
          <t>Functional</t>
        </is>
      </c>
      <c r="F74" s="13" t="inlineStr">
        <is>
          <t>P1</t>
        </is>
      </c>
      <c r="G74" s="13" t="inlineStr">
        <is>
          <t>Guest, clean browser (no localStorage)</t>
        </is>
      </c>
      <c r="H74" s="13" t="inlineStr">
        <is>
          <t>blueberry-biscuits ×2 + 1 Month plan</t>
        </is>
      </c>
      <c r="I74" s="13" t="inlineStr">
        <is>
          <t>1. Add items
2. Open /cart</t>
        </is>
      </c>
      <c r="J74" s="13" t="inlineStr">
        <is>
          <t>Each line shows name, SKU or "Subscription Box", qty and price × qty; header count correct</t>
        </is>
      </c>
      <c r="K74" s="13" t="inlineStr"/>
      <c r="L74" s="14" t="inlineStr">
        <is>
          <t>Not Run</t>
        </is>
      </c>
      <c r="M74" s="14" t="inlineStr"/>
      <c r="N74" s="14" t="inlineStr"/>
      <c r="O74" s="14" t="inlineStr"/>
      <c r="P74" s="14" t="inlineStr"/>
      <c r="Q74" s="14" t="inlineStr"/>
    </row>
    <row r="75">
      <c r="A75" s="13" t="inlineStr">
        <is>
          <t>TC-WEB-074</t>
        </is>
      </c>
      <c r="B75" s="13" t="inlineStr">
        <is>
          <t>Cart</t>
        </is>
      </c>
      <c r="C75" s="13" t="inlineStr">
        <is>
          <t>Items</t>
        </is>
      </c>
      <c r="D75" s="13" t="inlineStr">
        <is>
          <t>Increase and decrease product quantity</t>
        </is>
      </c>
      <c r="E75" s="13" t="inlineStr">
        <is>
          <t>Functional</t>
        </is>
      </c>
      <c r="F75" s="13" t="inlineStr">
        <is>
          <t>P1</t>
        </is>
      </c>
      <c r="G75" s="13" t="inlineStr">
        <is>
          <t>Guest, clean browser (no localStorage)</t>
        </is>
      </c>
      <c r="H75" s="13" t="inlineStr"/>
      <c r="I75" s="13" t="inlineStr">
        <is>
          <t>1. Click + then −</t>
        </is>
      </c>
      <c r="J75" s="13" t="inlineStr">
        <is>
          <t>Quantity and totals update after each click</t>
        </is>
      </c>
      <c r="K75" s="13" t="inlineStr"/>
      <c r="L75" s="14" t="inlineStr">
        <is>
          <t>Not Run</t>
        </is>
      </c>
      <c r="M75" s="14" t="inlineStr"/>
      <c r="N75" s="14" t="inlineStr"/>
      <c r="O75" s="14" t="inlineStr"/>
      <c r="P75" s="14" t="inlineStr"/>
      <c r="Q75" s="14" t="inlineStr"/>
    </row>
    <row r="76">
      <c r="A76" s="13" t="inlineStr">
        <is>
          <t>TC-WEB-075</t>
        </is>
      </c>
      <c r="B76" s="13" t="inlineStr">
        <is>
          <t>Cart</t>
        </is>
      </c>
      <c r="C76" s="13" t="inlineStr">
        <is>
          <t>Items</t>
        </is>
      </c>
      <c r="D76" s="13" t="inlineStr">
        <is>
          <t>Decreasing quantity to 0 removes the line or is blocked</t>
        </is>
      </c>
      <c r="E76" s="13" t="inlineStr">
        <is>
          <t>Edge</t>
        </is>
      </c>
      <c r="F76" s="13" t="inlineStr">
        <is>
          <t>P2</t>
        </is>
      </c>
      <c r="G76" s="13" t="inlineStr">
        <is>
          <t>Guest, clean browser (no localStorage)</t>
        </is>
      </c>
      <c r="H76" s="13" t="inlineStr">
        <is>
          <t>qty 1</t>
        </is>
      </c>
      <c r="I76" s="13" t="inlineStr">
        <is>
          <t>1. Click − at quantity 1</t>
        </is>
      </c>
      <c r="J76" s="13" t="inlineStr">
        <is>
          <t>Line removed (or − disabled); never quantity 0 or negative</t>
        </is>
      </c>
      <c r="K76" s="13" t="inlineStr"/>
      <c r="L76" s="14" t="inlineStr">
        <is>
          <t>Not Run</t>
        </is>
      </c>
      <c r="M76" s="14" t="inlineStr"/>
      <c r="N76" s="14" t="inlineStr"/>
      <c r="O76" s="14" t="inlineStr"/>
      <c r="P76" s="14" t="inlineStr"/>
      <c r="Q76" s="14" t="inlineStr"/>
    </row>
    <row r="77">
      <c r="A77" s="13" t="inlineStr">
        <is>
          <t>TC-WEB-076</t>
        </is>
      </c>
      <c r="B77" s="13" t="inlineStr">
        <is>
          <t>Cart</t>
        </is>
      </c>
      <c r="C77" s="13" t="inlineStr">
        <is>
          <t>Items</t>
        </is>
      </c>
      <c r="D77" s="13" t="inlineStr">
        <is>
          <t>Remove an item with ×</t>
        </is>
      </c>
      <c r="E77" s="13" t="inlineStr">
        <is>
          <t>Functional</t>
        </is>
      </c>
      <c r="F77" s="13" t="inlineStr">
        <is>
          <t>P1</t>
        </is>
      </c>
      <c r="G77" s="13" t="inlineStr">
        <is>
          <t>Guest, clean browser (no localStorage)</t>
        </is>
      </c>
      <c r="H77" s="13" t="inlineStr"/>
      <c r="I77" s="13" t="inlineStr">
        <is>
          <t>1. Click × on a line</t>
        </is>
      </c>
      <c r="J77" s="13" t="inlineStr">
        <is>
          <t>Line removed; totals update; empty state if last item</t>
        </is>
      </c>
      <c r="K77" s="13" t="inlineStr"/>
      <c r="L77" s="14" t="inlineStr">
        <is>
          <t>Not Run</t>
        </is>
      </c>
      <c r="M77" s="14" t="inlineStr"/>
      <c r="N77" s="14" t="inlineStr"/>
      <c r="O77" s="14" t="inlineStr"/>
      <c r="P77" s="14" t="inlineStr"/>
      <c r="Q77" s="14" t="inlineStr"/>
    </row>
    <row r="78">
      <c r="A78" s="13" t="inlineStr">
        <is>
          <t>TC-WEB-077</t>
        </is>
      </c>
      <c r="B78" s="13" t="inlineStr">
        <is>
          <t>Cart</t>
        </is>
      </c>
      <c r="C78" s="13" t="inlineStr">
        <is>
          <t>Items</t>
        </is>
      </c>
      <c r="D78" s="13" t="inlineStr">
        <is>
          <t>Plan quantity is fixed at 1</t>
        </is>
      </c>
      <c r="E78" s="13" t="inlineStr">
        <is>
          <t>Edge</t>
        </is>
      </c>
      <c r="F78" s="13" t="inlineStr">
        <is>
          <t>P3</t>
        </is>
      </c>
      <c r="G78" s="13" t="inlineStr">
        <is>
          <t>Guest, clean browser (no localStorage)</t>
        </is>
      </c>
      <c r="H78" s="13" t="inlineStr"/>
      <c r="I78" s="13" t="inlineStr">
        <is>
          <t>1. Add a plan
2. Open /cart</t>
        </is>
      </c>
      <c r="J78" s="13" t="inlineStr">
        <is>
          <t>Plan shows "Qty: 1" with no stepper</t>
        </is>
      </c>
      <c r="K78" s="13" t="inlineStr"/>
      <c r="L78" s="14" t="inlineStr">
        <is>
          <t>Not Run</t>
        </is>
      </c>
      <c r="M78" s="14" t="inlineStr"/>
      <c r="N78" s="14" t="inlineStr"/>
      <c r="O78" s="14" t="inlineStr"/>
      <c r="P78" s="14" t="inlineStr"/>
      <c r="Q78" s="14" t="inlineStr"/>
    </row>
    <row r="79">
      <c r="A79" s="13" t="inlineStr">
        <is>
          <t>TC-WEB-078</t>
        </is>
      </c>
      <c r="B79" s="13" t="inlineStr">
        <is>
          <t>Cart</t>
        </is>
      </c>
      <c r="C79" s="13" t="inlineStr">
        <is>
          <t>Totals</t>
        </is>
      </c>
      <c r="D79" s="13" t="inlineStr">
        <is>
          <t>Subtotal, discount and total add up</t>
        </is>
      </c>
      <c r="E79" s="13" t="inlineStr">
        <is>
          <t>Functional</t>
        </is>
      </c>
      <c r="F79" s="13" t="inlineStr">
        <is>
          <t>P1</t>
        </is>
      </c>
      <c r="G79" s="13" t="inlineStr">
        <is>
          <t>Guest, clean browser (no localStorage)</t>
        </is>
      </c>
      <c r="H79" s="13" t="inlineStr"/>
      <c r="I79" s="13" t="inlineStr">
        <is>
          <t>1. Add items with known prices</t>
        </is>
      </c>
      <c r="J79" s="13" t="inlineStr">
        <is>
          <t>Subtotal = Σ lines; Total = Subtotal − Discount</t>
        </is>
      </c>
      <c r="K79" s="13" t="inlineStr"/>
      <c r="L79" s="14" t="inlineStr">
        <is>
          <t>Not Run</t>
        </is>
      </c>
      <c r="M79" s="14" t="inlineStr"/>
      <c r="N79" s="14" t="inlineStr"/>
      <c r="O79" s="14" t="inlineStr"/>
      <c r="P79" s="14" t="inlineStr"/>
      <c r="Q79" s="14" t="inlineStr"/>
    </row>
    <row r="80">
      <c r="A80" s="13" t="inlineStr">
        <is>
          <t>TC-WEB-079</t>
        </is>
      </c>
      <c r="B80" s="13" t="inlineStr">
        <is>
          <t>Cart</t>
        </is>
      </c>
      <c r="C80" s="13" t="inlineStr">
        <is>
          <t>Persistence</t>
        </is>
      </c>
      <c r="D80" s="13" t="inlineStr">
        <is>
          <t>Guest cart survives reload and new tab</t>
        </is>
      </c>
      <c r="E80" s="13" t="inlineStr">
        <is>
          <t>Functional</t>
        </is>
      </c>
      <c r="F80" s="13" t="inlineStr">
        <is>
          <t>P1</t>
        </is>
      </c>
      <c r="G80" s="13" t="inlineStr">
        <is>
          <t>Guest, clean browser (no localStorage)</t>
        </is>
      </c>
      <c r="H80" s="13" t="inlineStr"/>
      <c r="I80" s="13" t="inlineStr">
        <is>
          <t>1. Add items
2. Reload
3. Open /cart in a new tab</t>
        </is>
      </c>
      <c r="J80" s="13" t="inlineStr">
        <is>
          <t>Same items in both</t>
        </is>
      </c>
      <c r="K80" s="13" t="inlineStr"/>
      <c r="L80" s="14" t="inlineStr">
        <is>
          <t>Not Run</t>
        </is>
      </c>
      <c r="M80" s="14" t="inlineStr"/>
      <c r="N80" s="14" t="inlineStr"/>
      <c r="O80" s="14" t="inlineStr"/>
      <c r="P80" s="14" t="inlineStr"/>
      <c r="Q80" s="14" t="inlineStr"/>
    </row>
    <row r="81">
      <c r="A81" s="13" t="inlineStr">
        <is>
          <t>TC-WEB-080</t>
        </is>
      </c>
      <c r="B81" s="13" t="inlineStr">
        <is>
          <t>Cart</t>
        </is>
      </c>
      <c r="C81" s="13" t="inlineStr">
        <is>
          <t>Persistence</t>
        </is>
      </c>
      <c r="D81" s="13" t="inlineStr">
        <is>
          <t>Guest cart is kept after signing in or creating an account</t>
        </is>
      </c>
      <c r="E81" s="13" t="inlineStr">
        <is>
          <t>Functional</t>
        </is>
      </c>
      <c r="F81" s="13" t="inlineStr">
        <is>
          <t>P1</t>
        </is>
      </c>
      <c r="G81" s="13" t="inlineStr">
        <is>
          <t>Guest, clean browser (no localStorage); 2 items in cart</t>
        </is>
      </c>
      <c r="H81" s="13" t="inlineStr"/>
      <c r="I81" s="13" t="inlineStr">
        <is>
          <t>1. Add items as guest
2. Sign in (or create account at checkout)
3. Open /cart</t>
        </is>
      </c>
      <c r="J81" s="13" t="inlineStr">
        <is>
          <t>Same items still in cart (merged into account cart)</t>
        </is>
      </c>
      <c r="K81" s="13" t="inlineStr">
        <is>
          <t>D-03</t>
        </is>
      </c>
      <c r="L81" s="14" t="inlineStr">
        <is>
          <t>Not Run</t>
        </is>
      </c>
      <c r="M81" s="14" t="inlineStr"/>
      <c r="N81" s="14" t="inlineStr"/>
      <c r="O81" s="14" t="inlineStr"/>
      <c r="P81" s="14" t="inlineStr"/>
      <c r="Q81" s="14" t="inlineStr"/>
    </row>
    <row r="82">
      <c r="A82" s="13" t="inlineStr">
        <is>
          <t>TC-WEB-081</t>
        </is>
      </c>
      <c r="B82" s="13" t="inlineStr">
        <is>
          <t>Cart</t>
        </is>
      </c>
      <c r="C82" s="13" t="inlineStr">
        <is>
          <t>Persistence</t>
        </is>
      </c>
      <c r="D82" s="13" t="inlineStr">
        <is>
          <t>Cart is private to each customer</t>
        </is>
      </c>
      <c r="E82" s="13" t="inlineStr">
        <is>
          <t>Security</t>
        </is>
      </c>
      <c r="F82" s="13" t="inlineStr">
        <is>
          <t>P1</t>
        </is>
      </c>
      <c r="G82" s="13" t="inlineStr">
        <is>
          <t>Two customer accounts A and B</t>
        </is>
      </c>
      <c r="H82" s="13" t="inlineStr"/>
      <c r="I82" s="13" t="inlineStr">
        <is>
          <t>1. A adds items and signs out
2. B signs in on the same browser</t>
        </is>
      </c>
      <c r="J82" s="13" t="inlineStr">
        <is>
          <t>B does not see A's items</t>
        </is>
      </c>
      <c r="K82" s="13" t="inlineStr"/>
      <c r="L82" s="14" t="inlineStr">
        <is>
          <t>Not Run</t>
        </is>
      </c>
      <c r="M82" s="14" t="inlineStr"/>
      <c r="N82" s="14" t="inlineStr"/>
      <c r="O82" s="14" t="inlineStr"/>
      <c r="P82" s="14" t="inlineStr"/>
      <c r="Q82" s="14" t="inlineStr"/>
    </row>
    <row r="83">
      <c r="A83" s="13" t="inlineStr">
        <is>
          <t>TC-WEB-082</t>
        </is>
      </c>
      <c r="B83" s="13" t="inlineStr">
        <is>
          <t>Cart</t>
        </is>
      </c>
      <c r="C83" s="13" t="inlineStr">
        <is>
          <t>Rapid clicks</t>
        </is>
      </c>
      <c r="D83" s="13" t="inlineStr">
        <is>
          <t>Rapid +/− clicks end in the correct quantity</t>
        </is>
      </c>
      <c r="E83" s="13" t="inlineStr">
        <is>
          <t>Edge</t>
        </is>
      </c>
      <c r="F83" s="13" t="inlineStr">
        <is>
          <t>P3</t>
        </is>
      </c>
      <c r="G83" s="13" t="inlineStr">
        <is>
          <t>Guest, clean browser (no localStorage)</t>
        </is>
      </c>
      <c r="H83" s="13" t="inlineStr"/>
      <c r="I83" s="13" t="inlineStr">
        <is>
          <t>1. Click + 5 times quickly</t>
        </is>
      </c>
      <c r="J83" s="13" t="inlineStr">
        <is>
          <t>Final quantity 6 (from 1); totals consistent</t>
        </is>
      </c>
      <c r="K83" s="13" t="inlineStr"/>
      <c r="L83" s="14" t="inlineStr">
        <is>
          <t>Not Run</t>
        </is>
      </c>
      <c r="M83" s="14" t="inlineStr"/>
      <c r="N83" s="14" t="inlineStr"/>
      <c r="O83" s="14" t="inlineStr"/>
      <c r="P83" s="14" t="inlineStr"/>
      <c r="Q83" s="14" t="inlineStr"/>
    </row>
    <row r="84">
      <c r="A84" s="13" t="inlineStr">
        <is>
          <t>TC-WEB-083</t>
        </is>
      </c>
      <c r="B84" s="13" t="inlineStr">
        <is>
          <t>Cart</t>
        </is>
      </c>
      <c r="C84" s="13" t="inlineStr">
        <is>
          <t>Checkout</t>
        </is>
      </c>
      <c r="D84" s="13" t="inlineStr">
        <is>
          <t>Proceed to Checkout opens checkout</t>
        </is>
      </c>
      <c r="E84" s="13" t="inlineStr">
        <is>
          <t>Functional</t>
        </is>
      </c>
      <c r="F84" s="13" t="inlineStr">
        <is>
          <t>P1</t>
        </is>
      </c>
      <c r="G84" s="13" t="inlineStr">
        <is>
          <t>Guest, clean browser (no localStorage)</t>
        </is>
      </c>
      <c r="H84" s="13" t="inlineStr"/>
      <c r="I84" s="13" t="inlineStr">
        <is>
          <t>1. Click Proceed to Checkout</t>
        </is>
      </c>
      <c r="J84" s="13" t="inlineStr">
        <is>
          <t>/checkout opens with same items</t>
        </is>
      </c>
      <c r="K84" s="13" t="inlineStr"/>
      <c r="L84" s="14" t="inlineStr">
        <is>
          <t>Not Run</t>
        </is>
      </c>
      <c r="M84" s="14" t="inlineStr"/>
      <c r="N84" s="14" t="inlineStr"/>
      <c r="O84" s="14" t="inlineStr"/>
      <c r="P84" s="14" t="inlineStr"/>
      <c r="Q84" s="14" t="inlineStr"/>
    </row>
    <row r="85">
      <c r="A85" s="13" t="inlineStr">
        <is>
          <t>TC-WEB-084</t>
        </is>
      </c>
      <c r="B85" s="13" t="inlineStr">
        <is>
          <t>Coupons</t>
        </is>
      </c>
      <c r="C85" s="13" t="inlineStr">
        <is>
          <t>Apply</t>
        </is>
      </c>
      <c r="D85" s="13" t="inlineStr">
        <is>
          <t>Apply a valid percentage coupon</t>
        </is>
      </c>
      <c r="E85" s="13" t="inlineStr">
        <is>
          <t>Functional</t>
        </is>
      </c>
      <c r="F85" s="13" t="inlineStr">
        <is>
          <t>P1</t>
        </is>
      </c>
      <c r="G85" s="13" t="inlineStr">
        <is>
          <t>Coupon TEST10 (10%, active) created in admin</t>
        </is>
      </c>
      <c r="H85" s="13" t="inlineStr">
        <is>
          <t>TEST10</t>
        </is>
      </c>
      <c r="I85" s="13" t="inlineStr">
        <is>
          <t>1. Enter TEST10
2. Click Apply</t>
        </is>
      </c>
      <c r="J85" s="13" t="inlineStr">
        <is>
          <t>Coupon shown as "10% off"; discount line = 10% of subtotal; total reduced</t>
        </is>
      </c>
      <c r="K85" s="13" t="inlineStr"/>
      <c r="L85" s="14" t="inlineStr">
        <is>
          <t>Not Run</t>
        </is>
      </c>
      <c r="M85" s="14" t="inlineStr"/>
      <c r="N85" s="14" t="inlineStr"/>
      <c r="O85" s="14" t="inlineStr"/>
      <c r="P85" s="14" t="inlineStr"/>
      <c r="Q85" s="14" t="inlineStr"/>
    </row>
    <row r="86">
      <c r="A86" s="13" t="inlineStr">
        <is>
          <t>TC-WEB-085</t>
        </is>
      </c>
      <c r="B86" s="13" t="inlineStr">
        <is>
          <t>Coupons</t>
        </is>
      </c>
      <c r="C86" s="13" t="inlineStr">
        <is>
          <t>Apply</t>
        </is>
      </c>
      <c r="D86" s="13" t="inlineStr">
        <is>
          <t>Apply a valid fixed coupon</t>
        </is>
      </c>
      <c r="E86" s="13" t="inlineStr">
        <is>
          <t>Functional</t>
        </is>
      </c>
      <c r="F86" s="13" t="inlineStr">
        <is>
          <t>P1</t>
        </is>
      </c>
      <c r="G86" s="13" t="inlineStr">
        <is>
          <t>Coupon FIVE (₾5 fixed)</t>
        </is>
      </c>
      <c r="H86" s="13" t="inlineStr">
        <is>
          <t>FIVE</t>
        </is>
      </c>
      <c r="I86" s="13" t="inlineStr">
        <is>
          <t>1. Apply FIVE</t>
        </is>
      </c>
      <c r="J86" s="13" t="inlineStr">
        <is>
          <t>"₾5 off"; total reduced by ₾5</t>
        </is>
      </c>
      <c r="K86" s="13" t="inlineStr"/>
      <c r="L86" s="14" t="inlineStr">
        <is>
          <t>Not Run</t>
        </is>
      </c>
      <c r="M86" s="14" t="inlineStr"/>
      <c r="N86" s="14" t="inlineStr"/>
      <c r="O86" s="14" t="inlineStr"/>
      <c r="P86" s="14" t="inlineStr"/>
      <c r="Q86" s="14" t="inlineStr"/>
    </row>
    <row r="87">
      <c r="A87" s="13" t="inlineStr">
        <is>
          <t>TC-WEB-086</t>
        </is>
      </c>
      <c r="B87" s="13" t="inlineStr">
        <is>
          <t>Coupons</t>
        </is>
      </c>
      <c r="C87" s="13" t="inlineStr">
        <is>
          <t>Apply</t>
        </is>
      </c>
      <c r="D87" s="13" t="inlineStr">
        <is>
          <t>Coupon code is case-insensitive and trims spaces</t>
        </is>
      </c>
      <c r="E87" s="13" t="inlineStr">
        <is>
          <t>Edge</t>
        </is>
      </c>
      <c r="F87" s="13" t="inlineStr">
        <is>
          <t>P3</t>
        </is>
      </c>
      <c r="G87" s="13" t="inlineStr">
        <is>
          <t>Coupon TEST10</t>
        </is>
      </c>
      <c r="H87" s="13" t="inlineStr">
        <is>
          <t>" test10 "</t>
        </is>
      </c>
      <c r="I87" s="13" t="inlineStr">
        <is>
          <t>1. Apply " test10 "</t>
        </is>
      </c>
      <c r="J87" s="13" t="inlineStr">
        <is>
          <t>Accepted as TEST10</t>
        </is>
      </c>
      <c r="K87" s="13" t="inlineStr"/>
      <c r="L87" s="14" t="inlineStr">
        <is>
          <t>Not Run</t>
        </is>
      </c>
      <c r="M87" s="14" t="inlineStr"/>
      <c r="N87" s="14" t="inlineStr"/>
      <c r="O87" s="14" t="inlineStr"/>
      <c r="P87" s="14" t="inlineStr"/>
      <c r="Q87" s="14" t="inlineStr"/>
    </row>
    <row r="88">
      <c r="A88" s="13" t="inlineStr">
        <is>
          <t>TC-WEB-087</t>
        </is>
      </c>
      <c r="B88" s="13" t="inlineStr">
        <is>
          <t>Coupons</t>
        </is>
      </c>
      <c r="C88" s="13" t="inlineStr">
        <is>
          <t>Apply</t>
        </is>
      </c>
      <c r="D88" s="13" t="inlineStr">
        <is>
          <t>Press Enter to apply</t>
        </is>
      </c>
      <c r="E88" s="13" t="inlineStr">
        <is>
          <t>Functional</t>
        </is>
      </c>
      <c r="F88" s="13" t="inlineStr">
        <is>
          <t>P4</t>
        </is>
      </c>
      <c r="G88" s="13" t="inlineStr">
        <is>
          <t>Coupon TEST10</t>
        </is>
      </c>
      <c r="H88" s="13" t="inlineStr"/>
      <c r="I88" s="13" t="inlineStr">
        <is>
          <t>1. Type code and press Enter</t>
        </is>
      </c>
      <c r="J88" s="13" t="inlineStr">
        <is>
          <t>Coupon applied</t>
        </is>
      </c>
      <c r="K88" s="13" t="inlineStr"/>
      <c r="L88" s="14" t="inlineStr">
        <is>
          <t>Not Run</t>
        </is>
      </c>
      <c r="M88" s="14" t="inlineStr"/>
      <c r="N88" s="14" t="inlineStr"/>
      <c r="O88" s="14" t="inlineStr"/>
      <c r="P88" s="14" t="inlineStr"/>
      <c r="Q88" s="14" t="inlineStr"/>
    </row>
    <row r="89">
      <c r="A89" s="13" t="inlineStr">
        <is>
          <t>TC-WEB-088</t>
        </is>
      </c>
      <c r="B89" s="13" t="inlineStr">
        <is>
          <t>Coupons</t>
        </is>
      </c>
      <c r="C89" s="13" t="inlineStr">
        <is>
          <t>Negative</t>
        </is>
      </c>
      <c r="D89" s="13" t="inlineStr">
        <is>
          <t>Invalid coupon shows an error</t>
        </is>
      </c>
      <c r="E89" s="13" t="inlineStr">
        <is>
          <t>Negative</t>
        </is>
      </c>
      <c r="F89" s="13" t="inlineStr">
        <is>
          <t>P2</t>
        </is>
      </c>
      <c r="G89" s="13" t="inlineStr">
        <is>
          <t>Guest, clean browser (no localStorage)</t>
        </is>
      </c>
      <c r="H89" s="13" t="inlineStr">
        <is>
          <t>NOPE</t>
        </is>
      </c>
      <c r="I89" s="13" t="inlineStr">
        <is>
          <t>1. Apply NOPE</t>
        </is>
      </c>
      <c r="J89" s="13" t="inlineStr">
        <is>
          <t>Clear error message; total unchanged</t>
        </is>
      </c>
      <c r="K89" s="13" t="inlineStr"/>
      <c r="L89" s="14" t="inlineStr">
        <is>
          <t>Not Run</t>
        </is>
      </c>
      <c r="M89" s="14" t="inlineStr"/>
      <c r="N89" s="14" t="inlineStr"/>
      <c r="O89" s="14" t="inlineStr"/>
      <c r="P89" s="14" t="inlineStr"/>
      <c r="Q89" s="14" t="inlineStr"/>
    </row>
    <row r="90">
      <c r="A90" s="13" t="inlineStr">
        <is>
          <t>TC-WEB-089</t>
        </is>
      </c>
      <c r="B90" s="13" t="inlineStr">
        <is>
          <t>Coupons</t>
        </is>
      </c>
      <c r="C90" s="13" t="inlineStr">
        <is>
          <t>Negative</t>
        </is>
      </c>
      <c r="D90" s="13" t="inlineStr">
        <is>
          <t>Expired / inactive / used-up coupon is rejected</t>
        </is>
      </c>
      <c r="E90" s="13" t="inlineStr">
        <is>
          <t>Negative</t>
        </is>
      </c>
      <c r="F90" s="13" t="inlineStr">
        <is>
          <t>P2</t>
        </is>
      </c>
      <c r="G90" s="13" t="inlineStr">
        <is>
          <t>Expired, inactive and max-uses-reached coupons</t>
        </is>
      </c>
      <c r="H90" s="13" t="inlineStr"/>
      <c r="I90" s="13" t="inlineStr">
        <is>
          <t>1. Apply each</t>
        </is>
      </c>
      <c r="J90" s="13" t="inlineStr">
        <is>
          <t>Each rejected with a specific message</t>
        </is>
      </c>
      <c r="K90" s="13" t="inlineStr"/>
      <c r="L90" s="14" t="inlineStr">
        <is>
          <t>Not Run</t>
        </is>
      </c>
      <c r="M90" s="14" t="inlineStr"/>
      <c r="N90" s="14" t="inlineStr"/>
      <c r="O90" s="14" t="inlineStr"/>
      <c r="P90" s="14" t="inlineStr"/>
      <c r="Q90" s="14" t="inlineStr"/>
    </row>
    <row r="91">
      <c r="A91" s="13" t="inlineStr">
        <is>
          <t>TC-WEB-090</t>
        </is>
      </c>
      <c r="B91" s="13" t="inlineStr">
        <is>
          <t>Coupons</t>
        </is>
      </c>
      <c r="C91" s="13" t="inlineStr">
        <is>
          <t>Negative</t>
        </is>
      </c>
      <c r="D91" s="13" t="inlineStr">
        <is>
          <t>Minimum order amount is enforced</t>
        </is>
      </c>
      <c r="E91" s="13" t="inlineStr">
        <is>
          <t>Negative</t>
        </is>
      </c>
      <c r="F91" s="13" t="inlineStr">
        <is>
          <t>P2</t>
        </is>
      </c>
      <c r="G91" s="13" t="inlineStr">
        <is>
          <t>Coupon with minimum ₾100</t>
        </is>
      </c>
      <c r="H91" s="13" t="inlineStr"/>
      <c r="I91" s="13" t="inlineStr">
        <is>
          <t>1. Apply with subtotal ₾50</t>
        </is>
      </c>
      <c r="J91" s="13" t="inlineStr">
        <is>
          <t>Rejected with the minimum stated</t>
        </is>
      </c>
      <c r="K91" s="13" t="inlineStr"/>
      <c r="L91" s="14" t="inlineStr">
        <is>
          <t>Not Run</t>
        </is>
      </c>
      <c r="M91" s="14" t="inlineStr"/>
      <c r="N91" s="14" t="inlineStr"/>
      <c r="O91" s="14" t="inlineStr"/>
      <c r="P91" s="14" t="inlineStr"/>
      <c r="Q91" s="14" t="inlineStr"/>
    </row>
    <row r="92">
      <c r="A92" s="13" t="inlineStr">
        <is>
          <t>TC-WEB-091</t>
        </is>
      </c>
      <c r="B92" s="13" t="inlineStr">
        <is>
          <t>Coupons</t>
        </is>
      </c>
      <c r="C92" s="13" t="inlineStr">
        <is>
          <t>Negative</t>
        </is>
      </c>
      <c r="D92" s="13" t="inlineStr">
        <is>
          <t>Fixed coupon larger than subtotal does not make total negative</t>
        </is>
      </c>
      <c r="E92" s="13" t="inlineStr">
        <is>
          <t>Edge</t>
        </is>
      </c>
      <c r="F92" s="13" t="inlineStr">
        <is>
          <t>P2</t>
        </is>
      </c>
      <c r="G92" s="13" t="inlineStr">
        <is>
          <t>Coupon ₾100 fixed</t>
        </is>
      </c>
      <c r="H92" s="13" t="inlineStr">
        <is>
          <t>Subtotal ₾20</t>
        </is>
      </c>
      <c r="I92" s="13" t="inlineStr">
        <is>
          <t>1. Apply coupon</t>
        </is>
      </c>
      <c r="J92" s="13" t="inlineStr">
        <is>
          <t>Total is ₾0.00 at minimum (or rejected), never negative</t>
        </is>
      </c>
      <c r="K92" s="13" t="inlineStr"/>
      <c r="L92" s="14" t="inlineStr">
        <is>
          <t>Not Run</t>
        </is>
      </c>
      <c r="M92" s="14" t="inlineStr"/>
      <c r="N92" s="14" t="inlineStr"/>
      <c r="O92" s="14" t="inlineStr"/>
      <c r="P92" s="14" t="inlineStr"/>
      <c r="Q92" s="14" t="inlineStr"/>
    </row>
    <row r="93">
      <c r="A93" s="13" t="inlineStr">
        <is>
          <t>TC-WEB-092</t>
        </is>
      </c>
      <c r="B93" s="13" t="inlineStr">
        <is>
          <t>Coupons</t>
        </is>
      </c>
      <c r="C93" s="13" t="inlineStr">
        <is>
          <t>Remove</t>
        </is>
      </c>
      <c r="D93" s="13" t="inlineStr">
        <is>
          <t>Remove applied coupon</t>
        </is>
      </c>
      <c r="E93" s="13" t="inlineStr">
        <is>
          <t>Functional</t>
        </is>
      </c>
      <c r="F93" s="13" t="inlineStr">
        <is>
          <t>P2</t>
        </is>
      </c>
      <c r="G93" s="13" t="inlineStr">
        <is>
          <t>Coupon applied</t>
        </is>
      </c>
      <c r="H93" s="13" t="inlineStr"/>
      <c r="I93" s="13" t="inlineStr">
        <is>
          <t>1. Click Remove</t>
        </is>
      </c>
      <c r="J93" s="13" t="inlineStr">
        <is>
          <t>Discount line disappears; total restored</t>
        </is>
      </c>
      <c r="K93" s="13" t="inlineStr"/>
      <c r="L93" s="14" t="inlineStr">
        <is>
          <t>Not Run</t>
        </is>
      </c>
      <c r="M93" s="14" t="inlineStr"/>
      <c r="N93" s="14" t="inlineStr"/>
      <c r="O93" s="14" t="inlineStr"/>
      <c r="P93" s="14" t="inlineStr"/>
      <c r="Q93" s="14" t="inlineStr"/>
    </row>
    <row r="94">
      <c r="A94" s="13" t="inlineStr">
        <is>
          <t>TC-WEB-093</t>
        </is>
      </c>
      <c r="B94" s="13" t="inlineStr">
        <is>
          <t>Coupons</t>
        </is>
      </c>
      <c r="C94" s="13" t="inlineStr">
        <is>
          <t>Carry-over</t>
        </is>
      </c>
      <c r="D94" s="13" t="inlineStr">
        <is>
          <t>Coupon discount carries through checkout to payment</t>
        </is>
      </c>
      <c r="E94" s="13" t="inlineStr">
        <is>
          <t>Integration</t>
        </is>
      </c>
      <c r="F94" s="13" t="inlineStr">
        <is>
          <t>P1</t>
        </is>
      </c>
      <c r="G94" s="13" t="inlineStr">
        <is>
          <t>Coupon applied</t>
        </is>
      </c>
      <c r="H94" s="13" t="inlineStr"/>
      <c r="I94" s="13" t="inlineStr">
        <is>
          <t>1. Apply coupon
2. Complete checkout to Review</t>
        </is>
      </c>
      <c r="J94" s="13" t="inlineStr">
        <is>
          <t>Review and Pay button total include the discount; order total in My Orders matches</t>
        </is>
      </c>
      <c r="K94" s="13" t="inlineStr"/>
      <c r="L94" s="14" t="inlineStr">
        <is>
          <t>Not Run</t>
        </is>
      </c>
      <c r="M94" s="14" t="inlineStr"/>
      <c r="N94" s="14" t="inlineStr"/>
      <c r="O94" s="14" t="inlineStr"/>
      <c r="P94" s="14" t="inlineStr"/>
      <c r="Q94" s="14" t="inlineStr"/>
    </row>
    <row r="95">
      <c r="A95" s="13" t="inlineStr">
        <is>
          <t>TC-WEB-094</t>
        </is>
      </c>
      <c r="B95" s="13" t="inlineStr">
        <is>
          <t>Account access</t>
        </is>
      </c>
      <c r="C95" s="13" t="inlineStr">
        <is>
          <t>Register</t>
        </is>
      </c>
      <c r="D95" s="13" t="inlineStr">
        <is>
          <t>Register with valid details</t>
        </is>
      </c>
      <c r="E95" s="13" t="inlineStr">
        <is>
          <t>Functional</t>
        </is>
      </c>
      <c r="F95" s="13" t="inlineStr">
        <is>
          <t>P1</t>
        </is>
      </c>
      <c r="G95" s="13" t="inlineStr">
        <is>
          <t>Guest, clean browser (no localStorage)</t>
        </is>
      </c>
      <c r="H95" s="13" t="inlineStr">
        <is>
          <t>New unique email, password ≥ 8</t>
        </is>
      </c>
      <c r="I95" s="13" t="inlineStr">
        <is>
          <t>1. Open /register
2. Fill all fields
3. Submit</t>
        </is>
      </c>
      <c r="J95" s="13" t="inlineStr">
        <is>
          <t>Account created; signed in; redirected to /account/orders</t>
        </is>
      </c>
      <c r="K95" s="13" t="inlineStr"/>
      <c r="L95" s="14" t="inlineStr">
        <is>
          <t>Not Run</t>
        </is>
      </c>
      <c r="M95" s="14" t="inlineStr"/>
      <c r="N95" s="14" t="inlineStr"/>
      <c r="O95" s="14" t="inlineStr"/>
      <c r="P95" s="14" t="inlineStr"/>
      <c r="Q95" s="14" t="inlineStr"/>
    </row>
    <row r="96">
      <c r="A96" s="13" t="inlineStr">
        <is>
          <t>TC-WEB-095</t>
        </is>
      </c>
      <c r="B96" s="13" t="inlineStr">
        <is>
          <t>Account access</t>
        </is>
      </c>
      <c r="C96" s="13" t="inlineStr">
        <is>
          <t>Register</t>
        </is>
      </c>
      <c r="D96" s="13" t="inlineStr">
        <is>
          <t>Required field validation</t>
        </is>
      </c>
      <c r="E96" s="13" t="inlineStr">
        <is>
          <t>Negative</t>
        </is>
      </c>
      <c r="F96" s="13" t="inlineStr">
        <is>
          <t>P2</t>
        </is>
      </c>
      <c r="G96" s="13" t="inlineStr">
        <is>
          <t>Guest, clean browser (no localStorage)</t>
        </is>
      </c>
      <c r="H96" s="13" t="inlineStr"/>
      <c r="I96" s="13" t="inlineStr">
        <is>
          <t>1. Submit empty form</t>
        </is>
      </c>
      <c r="J96" s="13" t="inlineStr">
        <is>
          <t>Errors under first name, last name, email, password</t>
        </is>
      </c>
      <c r="K96" s="13" t="inlineStr"/>
      <c r="L96" s="14" t="inlineStr">
        <is>
          <t>Not Run</t>
        </is>
      </c>
      <c r="M96" s="14" t="inlineStr"/>
      <c r="N96" s="14" t="inlineStr"/>
      <c r="O96" s="14" t="inlineStr"/>
      <c r="P96" s="14" t="inlineStr"/>
      <c r="Q96" s="14" t="inlineStr"/>
    </row>
    <row r="97">
      <c r="A97" s="13" t="inlineStr">
        <is>
          <t>TC-WEB-096</t>
        </is>
      </c>
      <c r="B97" s="13" t="inlineStr">
        <is>
          <t>Account access</t>
        </is>
      </c>
      <c r="C97" s="13" t="inlineStr">
        <is>
          <t>Register</t>
        </is>
      </c>
      <c r="D97" s="13" t="inlineStr">
        <is>
          <t>Invalid email format rejected</t>
        </is>
      </c>
      <c r="E97" s="13" t="inlineStr">
        <is>
          <t>Negative</t>
        </is>
      </c>
      <c r="F97" s="13" t="inlineStr">
        <is>
          <t>P2</t>
        </is>
      </c>
      <c r="G97" s="13" t="inlineStr">
        <is>
          <t>Guest, clean browser (no localStorage)</t>
        </is>
      </c>
      <c r="H97" s="13" t="inlineStr">
        <is>
          <t>anna@, anna.com</t>
        </is>
      </c>
      <c r="I97" s="13" t="inlineStr">
        <is>
          <t>1. Enter each
2. Submit</t>
        </is>
      </c>
      <c r="J97" s="13" t="inlineStr">
        <is>
          <t>"Enter a valid email address"</t>
        </is>
      </c>
      <c r="K97" s="13" t="inlineStr"/>
      <c r="L97" s="14" t="inlineStr">
        <is>
          <t>Not Run</t>
        </is>
      </c>
      <c r="M97" s="14" t="inlineStr"/>
      <c r="N97" s="14" t="inlineStr"/>
      <c r="O97" s="14" t="inlineStr"/>
      <c r="P97" s="14" t="inlineStr"/>
      <c r="Q97" s="14" t="inlineStr"/>
    </row>
    <row r="98">
      <c r="A98" s="13" t="inlineStr">
        <is>
          <t>TC-WEB-097</t>
        </is>
      </c>
      <c r="B98" s="13" t="inlineStr">
        <is>
          <t>Account access</t>
        </is>
      </c>
      <c r="C98" s="13" t="inlineStr">
        <is>
          <t>Register</t>
        </is>
      </c>
      <c r="D98" s="13" t="inlineStr">
        <is>
          <t>Password shorter than 8 rejected</t>
        </is>
      </c>
      <c r="E98" s="13" t="inlineStr">
        <is>
          <t>Negative</t>
        </is>
      </c>
      <c r="F98" s="13" t="inlineStr">
        <is>
          <t>P2</t>
        </is>
      </c>
      <c r="G98" s="13" t="inlineStr">
        <is>
          <t>Guest, clean browser (no localStorage)</t>
        </is>
      </c>
      <c r="H98" s="13" t="inlineStr">
        <is>
          <t>1234567</t>
        </is>
      </c>
      <c r="I98" s="13" t="inlineStr">
        <is>
          <t>1. Submit</t>
        </is>
      </c>
      <c r="J98" s="13" t="inlineStr">
        <is>
          <t>"Password must be at least 8 characters"</t>
        </is>
      </c>
      <c r="K98" s="13" t="inlineStr"/>
      <c r="L98" s="14" t="inlineStr">
        <is>
          <t>Not Run</t>
        </is>
      </c>
      <c r="M98" s="14" t="inlineStr"/>
      <c r="N98" s="14" t="inlineStr"/>
      <c r="O98" s="14" t="inlineStr"/>
      <c r="P98" s="14" t="inlineStr"/>
      <c r="Q98" s="14" t="inlineStr"/>
    </row>
    <row r="99">
      <c r="A99" s="13" t="inlineStr">
        <is>
          <t>TC-WEB-098</t>
        </is>
      </c>
      <c r="B99" s="13" t="inlineStr">
        <is>
          <t>Account access</t>
        </is>
      </c>
      <c r="C99" s="13" t="inlineStr">
        <is>
          <t>Register</t>
        </is>
      </c>
      <c r="D99" s="13" t="inlineStr">
        <is>
          <t>Duplicate email rejected</t>
        </is>
      </c>
      <c r="E99" s="13" t="inlineStr">
        <is>
          <t>Negative</t>
        </is>
      </c>
      <c r="F99" s="13" t="inlineStr">
        <is>
          <t>P1</t>
        </is>
      </c>
      <c r="G99" s="13" t="inlineStr">
        <is>
          <t>Email already registered</t>
        </is>
      </c>
      <c r="H99" s="13" t="inlineStr"/>
      <c r="I99" s="13" t="inlineStr">
        <is>
          <t>1. Register with existing email</t>
        </is>
      </c>
      <c r="J99" s="13" t="inlineStr">
        <is>
          <t>Clear "email already in use" message; no second account</t>
        </is>
      </c>
      <c r="K99" s="13" t="inlineStr"/>
      <c r="L99" s="14" t="inlineStr">
        <is>
          <t>Not Run</t>
        </is>
      </c>
      <c r="M99" s="14" t="inlineStr"/>
      <c r="N99" s="14" t="inlineStr"/>
      <c r="O99" s="14" t="inlineStr"/>
      <c r="P99" s="14" t="inlineStr"/>
      <c r="Q99" s="14" t="inlineStr"/>
    </row>
    <row r="100">
      <c r="A100" s="13" t="inlineStr">
        <is>
          <t>TC-WEB-099</t>
        </is>
      </c>
      <c r="B100" s="13" t="inlineStr">
        <is>
          <t>Account access</t>
        </is>
      </c>
      <c r="C100" s="13" t="inlineStr">
        <is>
          <t>Register</t>
        </is>
      </c>
      <c r="D100" s="13" t="inlineStr">
        <is>
          <t>Referral link pre-fills the referral code</t>
        </is>
      </c>
      <c r="E100" s="13" t="inlineStr">
        <is>
          <t>Functional</t>
        </is>
      </c>
      <c r="F100" s="13" t="inlineStr">
        <is>
          <t>P2</t>
        </is>
      </c>
      <c r="G100" s="13" t="inlineStr">
        <is>
          <t>Referrer's link</t>
        </is>
      </c>
      <c r="H100" s="13" t="inlineStr">
        <is>
          <t>/register?ref=CODE</t>
        </is>
      </c>
      <c r="I100" s="13" t="inlineStr">
        <is>
          <t>1. Open the link</t>
        </is>
      </c>
      <c r="J100" s="13" t="inlineStr">
        <is>
          <t>Green box shows "Referral: CODE"; registration links the referral</t>
        </is>
      </c>
      <c r="K100" s="13" t="inlineStr"/>
      <c r="L100" s="14" t="inlineStr">
        <is>
          <t>Not Run</t>
        </is>
      </c>
      <c r="M100" s="14" t="inlineStr"/>
      <c r="N100" s="14" t="inlineStr"/>
      <c r="O100" s="14" t="inlineStr"/>
      <c r="P100" s="14" t="inlineStr"/>
      <c r="Q100" s="14" t="inlineStr"/>
    </row>
    <row r="101">
      <c r="A101" s="13" t="inlineStr">
        <is>
          <t>TC-WEB-100</t>
        </is>
      </c>
      <c r="B101" s="13" t="inlineStr">
        <is>
          <t>Account access</t>
        </is>
      </c>
      <c r="C101" s="13" t="inlineStr">
        <is>
          <t>Register</t>
        </is>
      </c>
      <c r="D101" s="13" t="inlineStr">
        <is>
          <t>Invalid referral code is handled</t>
        </is>
      </c>
      <c r="E101" s="13" t="inlineStr">
        <is>
          <t>Negative</t>
        </is>
      </c>
      <c r="F101" s="13" t="inlineStr">
        <is>
          <t>P3</t>
        </is>
      </c>
      <c r="G101" s="13" t="inlineStr">
        <is>
          <t>Guest, clean browser (no localStorage)</t>
        </is>
      </c>
      <c r="H101" s="13" t="inlineStr">
        <is>
          <t>ref=BADCODE</t>
        </is>
      </c>
      <c r="I101" s="13" t="inlineStr">
        <is>
          <t>1. Register with bad code</t>
        </is>
      </c>
      <c r="J101" s="13" t="inlineStr">
        <is>
          <t>Registration succeeds without referral, or a clear message; no crash</t>
        </is>
      </c>
      <c r="K101" s="13" t="inlineStr"/>
      <c r="L101" s="14" t="inlineStr">
        <is>
          <t>Not Run</t>
        </is>
      </c>
      <c r="M101" s="14" t="inlineStr"/>
      <c r="N101" s="14" t="inlineStr"/>
      <c r="O101" s="14" t="inlineStr"/>
      <c r="P101" s="14" t="inlineStr"/>
      <c r="Q101" s="14" t="inlineStr"/>
    </row>
    <row r="102">
      <c r="A102" s="13" t="inlineStr">
        <is>
          <t>TC-WEB-101</t>
        </is>
      </c>
      <c r="B102" s="13" t="inlineStr">
        <is>
          <t>Account access</t>
        </is>
      </c>
      <c r="C102" s="13" t="inlineStr">
        <is>
          <t>Login</t>
        </is>
      </c>
      <c r="D102" s="13" t="inlineStr">
        <is>
          <t>Sign in with valid credentials</t>
        </is>
      </c>
      <c r="E102" s="13" t="inlineStr">
        <is>
          <t>Functional</t>
        </is>
      </c>
      <c r="F102" s="13" t="inlineStr">
        <is>
          <t>P1</t>
        </is>
      </c>
      <c r="G102" s="13" t="inlineStr">
        <is>
          <t>Existing customer</t>
        </is>
      </c>
      <c r="H102" s="13" t="inlineStr"/>
      <c r="I102" s="13" t="inlineStr">
        <is>
          <t>1. Open /login
2. Enter email and password
3. Submit</t>
        </is>
      </c>
      <c r="J102" s="13" t="inlineStr">
        <is>
          <t>Signed in; redirected to /account/orders</t>
        </is>
      </c>
      <c r="K102" s="13" t="inlineStr"/>
      <c r="L102" s="14" t="inlineStr">
        <is>
          <t>Not Run</t>
        </is>
      </c>
      <c r="M102" s="14" t="inlineStr"/>
      <c r="N102" s="14" t="inlineStr"/>
      <c r="O102" s="14" t="inlineStr"/>
      <c r="P102" s="14" t="inlineStr"/>
      <c r="Q102" s="14" t="inlineStr"/>
    </row>
    <row r="103">
      <c r="A103" s="13" t="inlineStr">
        <is>
          <t>TC-WEB-102</t>
        </is>
      </c>
      <c r="B103" s="13" t="inlineStr">
        <is>
          <t>Account access</t>
        </is>
      </c>
      <c r="C103" s="13" t="inlineStr">
        <is>
          <t>Login</t>
        </is>
      </c>
      <c r="D103" s="13" t="inlineStr">
        <is>
          <t>Wrong password</t>
        </is>
      </c>
      <c r="E103" s="13" t="inlineStr">
        <is>
          <t>Negative</t>
        </is>
      </c>
      <c r="F103" s="13" t="inlineStr">
        <is>
          <t>P1</t>
        </is>
      </c>
      <c r="G103" s="13" t="inlineStr">
        <is>
          <t>Existing customer</t>
        </is>
      </c>
      <c r="H103" s="13" t="inlineStr"/>
      <c r="I103" s="13" t="inlineStr">
        <is>
          <t>1. Enter wrong password</t>
        </is>
      </c>
      <c r="J103" s="13" t="inlineStr">
        <is>
          <t>Generic error, no hint whether the email exists</t>
        </is>
      </c>
      <c r="K103" s="13" t="inlineStr"/>
      <c r="L103" s="14" t="inlineStr">
        <is>
          <t>Not Run</t>
        </is>
      </c>
      <c r="M103" s="14" t="inlineStr"/>
      <c r="N103" s="14" t="inlineStr"/>
      <c r="O103" s="14" t="inlineStr"/>
      <c r="P103" s="14" t="inlineStr"/>
      <c r="Q103" s="14" t="inlineStr"/>
    </row>
    <row r="104">
      <c r="A104" s="13" t="inlineStr">
        <is>
          <t>TC-WEB-103</t>
        </is>
      </c>
      <c r="B104" s="13" t="inlineStr">
        <is>
          <t>Account access</t>
        </is>
      </c>
      <c r="C104" s="13" t="inlineStr">
        <is>
          <t>Login</t>
        </is>
      </c>
      <c r="D104" s="13" t="inlineStr">
        <is>
          <t>Empty fields validation</t>
        </is>
      </c>
      <c r="E104" s="13" t="inlineStr">
        <is>
          <t>Negative</t>
        </is>
      </c>
      <c r="F104" s="13" t="inlineStr">
        <is>
          <t>P3</t>
        </is>
      </c>
      <c r="G104" s="13" t="inlineStr">
        <is>
          <t>Guest, clean browser (no localStorage)</t>
        </is>
      </c>
      <c r="H104" s="13" t="inlineStr"/>
      <c r="I104" s="13" t="inlineStr">
        <is>
          <t>1. Submit empty</t>
        </is>
      </c>
      <c r="J104" s="13" t="inlineStr">
        <is>
          <t>Email and password required errors</t>
        </is>
      </c>
      <c r="K104" s="13" t="inlineStr"/>
      <c r="L104" s="14" t="inlineStr">
        <is>
          <t>Not Run</t>
        </is>
      </c>
      <c r="M104" s="14" t="inlineStr"/>
      <c r="N104" s="14" t="inlineStr"/>
      <c r="O104" s="14" t="inlineStr"/>
      <c r="P104" s="14" t="inlineStr"/>
      <c r="Q104" s="14" t="inlineStr"/>
    </row>
    <row r="105">
      <c r="A105" s="13" t="inlineStr">
        <is>
          <t>TC-WEB-104</t>
        </is>
      </c>
      <c r="B105" s="13" t="inlineStr">
        <is>
          <t>Account access</t>
        </is>
      </c>
      <c r="C105" s="13" t="inlineStr">
        <is>
          <t>Login</t>
        </is>
      </c>
      <c r="D105" s="13" t="inlineStr">
        <is>
          <t>Redirect parameter returns user to the page they came from</t>
        </is>
      </c>
      <c r="E105" s="13" t="inlineStr">
        <is>
          <t>Functional</t>
        </is>
      </c>
      <c r="F105" s="13" t="inlineStr">
        <is>
          <t>P2</t>
        </is>
      </c>
      <c r="G105" s="13" t="inlineStr">
        <is>
          <t>Guest, clean browser (no localStorage)</t>
        </is>
      </c>
      <c r="H105" s="13" t="inlineStr">
        <is>
          <t>/login?redirect=/account/subscriptions</t>
        </is>
      </c>
      <c r="I105" s="13" t="inlineStr">
        <is>
          <t>1. Sign in</t>
        </is>
      </c>
      <c r="J105" s="13" t="inlineStr">
        <is>
          <t>Lands on /account/subscriptions</t>
        </is>
      </c>
      <c r="K105" s="13" t="inlineStr"/>
      <c r="L105" s="14" t="inlineStr">
        <is>
          <t>Not Run</t>
        </is>
      </c>
      <c r="M105" s="14" t="inlineStr"/>
      <c r="N105" s="14" t="inlineStr"/>
      <c r="O105" s="14" t="inlineStr"/>
      <c r="P105" s="14" t="inlineStr"/>
      <c r="Q105" s="14" t="inlineStr"/>
    </row>
    <row r="106">
      <c r="A106" s="13" t="inlineStr">
        <is>
          <t>TC-WEB-105</t>
        </is>
      </c>
      <c r="B106" s="13" t="inlineStr">
        <is>
          <t>Account access</t>
        </is>
      </c>
      <c r="C106" s="13" t="inlineStr">
        <is>
          <t>Login</t>
        </is>
      </c>
      <c r="D106" s="13" t="inlineStr">
        <is>
          <t>Redirect parameter cannot send users to another website</t>
        </is>
      </c>
      <c r="E106" s="13" t="inlineStr">
        <is>
          <t>Security</t>
        </is>
      </c>
      <c r="F106" s="13" t="inlineStr">
        <is>
          <t>P1</t>
        </is>
      </c>
      <c r="G106" s="13" t="inlineStr">
        <is>
          <t>Guest, clean browser (no localStorage)</t>
        </is>
      </c>
      <c r="H106" s="13" t="inlineStr">
        <is>
          <t>/login?redirect=https://example.com</t>
        </is>
      </c>
      <c r="I106" s="13" t="inlineStr">
        <is>
          <t>1. Sign in</t>
        </is>
      </c>
      <c r="J106" s="13" t="inlineStr">
        <is>
          <t>Stays on Pupbox (ignores external URL)</t>
        </is>
      </c>
      <c r="K106" s="13" t="inlineStr">
        <is>
          <t>D-19</t>
        </is>
      </c>
      <c r="L106" s="14" t="inlineStr">
        <is>
          <t>Not Run</t>
        </is>
      </c>
      <c r="M106" s="14" t="inlineStr"/>
      <c r="N106" s="14" t="inlineStr"/>
      <c r="O106" s="14" t="inlineStr"/>
      <c r="P106" s="14" t="inlineStr"/>
      <c r="Q106" s="14" t="inlineStr"/>
    </row>
    <row r="107">
      <c r="A107" s="13" t="inlineStr">
        <is>
          <t>TC-WEB-106</t>
        </is>
      </c>
      <c r="B107" s="13" t="inlineStr">
        <is>
          <t>Account access</t>
        </is>
      </c>
      <c r="C107" s="13" t="inlineStr">
        <is>
          <t>Login</t>
        </is>
      </c>
      <c r="D107" s="13" t="inlineStr">
        <is>
          <t>Repeated failed logins are throttled</t>
        </is>
      </c>
      <c r="E107" s="13" t="inlineStr">
        <is>
          <t>Security</t>
        </is>
      </c>
      <c r="F107" s="13" t="inlineStr">
        <is>
          <t>P2</t>
        </is>
      </c>
      <c r="G107" s="13" t="inlineStr">
        <is>
          <t>Existing customer</t>
        </is>
      </c>
      <c r="H107" s="13" t="inlineStr">
        <is>
          <t>10 wrong attempts</t>
        </is>
      </c>
      <c r="I107" s="13" t="inlineStr">
        <is>
          <t>1. Fail login 10 times quickly</t>
        </is>
      </c>
      <c r="J107" s="13" t="inlineStr">
        <is>
          <t>Rate-limited or temporary lockout message</t>
        </is>
      </c>
      <c r="K107" s="13" t="inlineStr"/>
      <c r="L107" s="14" t="inlineStr">
        <is>
          <t>Not Run</t>
        </is>
      </c>
      <c r="M107" s="14" t="inlineStr"/>
      <c r="N107" s="14" t="inlineStr"/>
      <c r="O107" s="14" t="inlineStr"/>
      <c r="P107" s="14" t="inlineStr"/>
      <c r="Q107" s="14" t="inlineStr"/>
    </row>
    <row r="108">
      <c r="A108" s="13" t="inlineStr">
        <is>
          <t>TC-WEB-107</t>
        </is>
      </c>
      <c r="B108" s="13" t="inlineStr">
        <is>
          <t>Account access</t>
        </is>
      </c>
      <c r="C108" s="13" t="inlineStr">
        <is>
          <t>Logout</t>
        </is>
      </c>
      <c r="D108" s="13" t="inlineStr">
        <is>
          <t>Sign out clears session</t>
        </is>
      </c>
      <c r="E108" s="13" t="inlineStr">
        <is>
          <t>Functional</t>
        </is>
      </c>
      <c r="F108" s="13" t="inlineStr">
        <is>
          <t>P1</t>
        </is>
      </c>
      <c r="G108" s="13" t="inlineStr">
        <is>
          <t>Signed in as a customer</t>
        </is>
      </c>
      <c r="H108" s="13" t="inlineStr"/>
      <c r="I108" s="13" t="inlineStr">
        <is>
          <t>1. Account → Sign out
2. Open /account</t>
        </is>
      </c>
      <c r="J108" s="13" t="inlineStr">
        <is>
          <t>Redirected to /login; token removed</t>
        </is>
      </c>
      <c r="K108" s="13" t="inlineStr"/>
      <c r="L108" s="14" t="inlineStr">
        <is>
          <t>Not Run</t>
        </is>
      </c>
      <c r="M108" s="14" t="inlineStr"/>
      <c r="N108" s="14" t="inlineStr"/>
      <c r="O108" s="14" t="inlineStr"/>
      <c r="P108" s="14" t="inlineStr"/>
      <c r="Q108" s="14" t="inlineStr"/>
    </row>
    <row r="109">
      <c r="A109" s="13" t="inlineStr">
        <is>
          <t>TC-WEB-108</t>
        </is>
      </c>
      <c r="B109" s="13" t="inlineStr">
        <is>
          <t>Account access</t>
        </is>
      </c>
      <c r="C109" s="13" t="inlineStr">
        <is>
          <t>Session</t>
        </is>
      </c>
      <c r="D109" s="13" t="inlineStr">
        <is>
          <t>Expired session sends user to sign in</t>
        </is>
      </c>
      <c r="E109" s="13" t="inlineStr">
        <is>
          <t>Negative</t>
        </is>
      </c>
      <c r="F109" s="13" t="inlineStr">
        <is>
          <t>P2</t>
        </is>
      </c>
      <c r="G109" s="13" t="inlineStr">
        <is>
          <t>Customer token expired or edited in localStorage</t>
        </is>
      </c>
      <c r="H109" s="13" t="inlineStr"/>
      <c r="I109" s="13" t="inlineStr">
        <is>
          <t>1. Corrupt pupbox_token
2. Open /account, /account/orders</t>
        </is>
      </c>
      <c r="J109" s="13" t="inlineStr">
        <is>
          <t>User asked to sign in again; no blank page or misleading empty state</t>
        </is>
      </c>
      <c r="K109" s="13" t="inlineStr">
        <is>
          <t>D-20</t>
        </is>
      </c>
      <c r="L109" s="14" t="inlineStr">
        <is>
          <t>Not Run</t>
        </is>
      </c>
      <c r="M109" s="14" t="inlineStr"/>
      <c r="N109" s="14" t="inlineStr"/>
      <c r="O109" s="14" t="inlineStr"/>
      <c r="P109" s="14" t="inlineStr"/>
      <c r="Q109" s="14" t="inlineStr"/>
    </row>
    <row r="110">
      <c r="A110" s="13" t="inlineStr">
        <is>
          <t>TC-WEB-109</t>
        </is>
      </c>
      <c r="B110" s="13" t="inlineStr">
        <is>
          <t>Account access</t>
        </is>
      </c>
      <c r="C110" s="13" t="inlineStr">
        <is>
          <t>Password</t>
        </is>
      </c>
      <c r="D110" s="13" t="inlineStr">
        <is>
          <t>Forgot password flow exists</t>
        </is>
      </c>
      <c r="E110" s="13" t="inlineStr">
        <is>
          <t>Functional</t>
        </is>
      </c>
      <c r="F110" s="13" t="inlineStr">
        <is>
          <t>P2</t>
        </is>
      </c>
      <c r="G110" s="13" t="inlineStr">
        <is>
          <t>Guest, clean browser (no localStorage)</t>
        </is>
      </c>
      <c r="H110" s="13" t="inlineStr"/>
      <c r="I110" s="13" t="inlineStr">
        <is>
          <t>1. Look for "Forgot password" on /login</t>
        </is>
      </c>
      <c r="J110" s="13" t="inlineStr">
        <is>
          <t>Link exists and sends a reset email</t>
        </is>
      </c>
      <c r="K110" s="13" t="inlineStr"/>
      <c r="L110" s="14" t="inlineStr">
        <is>
          <t>Not Run</t>
        </is>
      </c>
      <c r="M110" s="14" t="inlineStr"/>
      <c r="N110" s="14" t="inlineStr"/>
      <c r="O110" s="14" t="inlineStr"/>
      <c r="P110" s="14" t="inlineStr"/>
      <c r="Q110" s="14" t="inlineStr"/>
    </row>
    <row r="111">
      <c r="A111" s="13" t="inlineStr">
        <is>
          <t>TC-WEB-110</t>
        </is>
      </c>
      <c r="B111" s="13" t="inlineStr">
        <is>
          <t>Account access</t>
        </is>
      </c>
      <c r="C111" s="13" t="inlineStr">
        <is>
          <t>Protected pages</t>
        </is>
      </c>
      <c r="D111" s="13" t="inlineStr">
        <is>
          <t>Account pages require sign in</t>
        </is>
      </c>
      <c r="E111" s="13" t="inlineStr">
        <is>
          <t>Security</t>
        </is>
      </c>
      <c r="F111" s="13" t="inlineStr">
        <is>
          <t>P1</t>
        </is>
      </c>
      <c r="G111" s="13" t="inlineStr">
        <is>
          <t>Guest, clean browser (no localStorage)</t>
        </is>
      </c>
      <c r="H111" s="13" t="inlineStr">
        <is>
          <t>/account, /account/orders, /account/subscriptions, /account/referrals</t>
        </is>
      </c>
      <c r="I111" s="13" t="inlineStr">
        <is>
          <t>1. Open each while signed out</t>
        </is>
      </c>
      <c r="J111" s="13" t="inlineStr">
        <is>
          <t>Redirected to /login with redirect back</t>
        </is>
      </c>
      <c r="K111" s="13" t="inlineStr"/>
      <c r="L111" s="14" t="inlineStr">
        <is>
          <t>Not Run</t>
        </is>
      </c>
      <c r="M111" s="14" t="inlineStr"/>
      <c r="N111" s="14" t="inlineStr"/>
      <c r="O111" s="14" t="inlineStr"/>
      <c r="P111" s="14" t="inlineStr"/>
      <c r="Q111" s="14" t="inlineStr"/>
    </row>
    <row r="112">
      <c r="A112" s="13" t="inlineStr">
        <is>
          <t>TC-WEB-111</t>
        </is>
      </c>
      <c r="B112" s="13" t="inlineStr">
        <is>
          <t>Checkout</t>
        </is>
      </c>
      <c r="C112" s="13" t="inlineStr">
        <is>
          <t>Access</t>
        </is>
      </c>
      <c r="D112" s="13" t="inlineStr">
        <is>
          <t>Checkout with an empty cart is prevented</t>
        </is>
      </c>
      <c r="E112" s="13" t="inlineStr">
        <is>
          <t>Negative</t>
        </is>
      </c>
      <c r="F112" s="13" t="inlineStr">
        <is>
          <t>P2</t>
        </is>
      </c>
      <c r="G112" s="13" t="inlineStr">
        <is>
          <t>Guest, clean browser (no localStorage); empty cart</t>
        </is>
      </c>
      <c r="H112" s="13" t="inlineStr"/>
      <c r="I112" s="13" t="inlineStr">
        <is>
          <t>1. Open /checkout directly</t>
        </is>
      </c>
      <c r="J112" s="13" t="inlineStr">
        <is>
          <t>Redirect to cart or message "Your cart is empty"</t>
        </is>
      </c>
      <c r="K112" s="13" t="inlineStr">
        <is>
          <t>D-12</t>
        </is>
      </c>
      <c r="L112" s="14" t="inlineStr">
        <is>
          <t>Not Run</t>
        </is>
      </c>
      <c r="M112" s="14" t="inlineStr"/>
      <c r="N112" s="14" t="inlineStr"/>
      <c r="O112" s="14" t="inlineStr"/>
      <c r="P112" s="14" t="inlineStr"/>
      <c r="Q112" s="14" t="inlineStr"/>
    </row>
    <row r="113">
      <c r="A113" s="13" t="inlineStr">
        <is>
          <t>TC-WEB-112</t>
        </is>
      </c>
      <c r="B113" s="13" t="inlineStr">
        <is>
          <t>Checkout</t>
        </is>
      </c>
      <c r="C113" s="13" t="inlineStr">
        <is>
          <t>Steps</t>
        </is>
      </c>
      <c r="D113" s="13" t="inlineStr">
        <is>
          <t>Step indicator shows progress</t>
        </is>
      </c>
      <c r="E113" s="13" t="inlineStr">
        <is>
          <t>UI</t>
        </is>
      </c>
      <c r="F113" s="13" t="inlineStr">
        <is>
          <t>P3</t>
        </is>
      </c>
      <c r="G113" s="13" t="inlineStr">
        <is>
          <t>Guest, clean browser (no localStorage)</t>
        </is>
      </c>
      <c r="H113" s="13" t="inlineStr"/>
      <c r="I113" s="13" t="inlineStr">
        <is>
          <t>1. Go through all steps</t>
        </is>
      </c>
      <c r="J113" s="13" t="inlineStr">
        <is>
          <t>Current step teal, completed steps green ✓</t>
        </is>
      </c>
      <c r="K113" s="13" t="inlineStr"/>
      <c r="L113" s="14" t="inlineStr">
        <is>
          <t>Not Run</t>
        </is>
      </c>
      <c r="M113" s="14" t="inlineStr"/>
      <c r="N113" s="14" t="inlineStr"/>
      <c r="O113" s="14" t="inlineStr"/>
      <c r="P113" s="14" t="inlineStr"/>
      <c r="Q113" s="14" t="inlineStr"/>
    </row>
    <row r="114">
      <c r="A114" s="13" t="inlineStr">
        <is>
          <t>TC-WEB-113</t>
        </is>
      </c>
      <c r="B114" s="13" t="inlineStr">
        <is>
          <t>Checkout</t>
        </is>
      </c>
      <c r="C114" s="13" t="inlineStr">
        <is>
          <t>Account step</t>
        </is>
      </c>
      <c r="D114" s="13" t="inlineStr">
        <is>
          <t>Guest creates an account at checkout</t>
        </is>
      </c>
      <c r="E114" s="13" t="inlineStr">
        <is>
          <t>Functional</t>
        </is>
      </c>
      <c r="F114" s="13" t="inlineStr">
        <is>
          <t>P1</t>
        </is>
      </c>
      <c r="G114" s="13" t="inlineStr">
        <is>
          <t>Guest, clean browser (no localStorage); plan in cart</t>
        </is>
      </c>
      <c r="H114" s="13" t="inlineStr">
        <is>
          <t>New email</t>
        </is>
      </c>
      <c r="I114" s="13" t="inlineStr">
        <is>
          <t>1. Create Account tab
2. Fill details
3. Continue</t>
        </is>
      </c>
      <c r="J114" s="13" t="inlineStr">
        <is>
          <t>Account created, signed in, moves to Dog Profile; cart items still present</t>
        </is>
      </c>
      <c r="K114" s="13" t="inlineStr">
        <is>
          <t>D-03</t>
        </is>
      </c>
      <c r="L114" s="14" t="inlineStr">
        <is>
          <t>Not Run</t>
        </is>
      </c>
      <c r="M114" s="14" t="inlineStr"/>
      <c r="N114" s="14" t="inlineStr"/>
      <c r="O114" s="14" t="inlineStr"/>
      <c r="P114" s="14" t="inlineStr"/>
      <c r="Q114" s="14" t="inlineStr"/>
    </row>
    <row r="115">
      <c r="A115" s="13" t="inlineStr">
        <is>
          <t>TC-WEB-114</t>
        </is>
      </c>
      <c r="B115" s="13" t="inlineStr">
        <is>
          <t>Checkout</t>
        </is>
      </c>
      <c r="C115" s="13" t="inlineStr">
        <is>
          <t>Account step</t>
        </is>
      </c>
      <c r="D115" s="13" t="inlineStr">
        <is>
          <t>Existing customer signs in at checkout</t>
        </is>
      </c>
      <c r="E115" s="13" t="inlineStr">
        <is>
          <t>Functional</t>
        </is>
      </c>
      <c r="F115" s="13" t="inlineStr">
        <is>
          <t>P1</t>
        </is>
      </c>
      <c r="G115" s="13" t="inlineStr">
        <is>
          <t>Guest, clean browser (no localStorage); items in cart</t>
        </is>
      </c>
      <c r="H115" s="13" t="inlineStr"/>
      <c r="I115" s="13" t="inlineStr">
        <is>
          <t>1. Sign In tab
2. Enter credentials
3. Continue</t>
        </is>
      </c>
      <c r="J115" s="13" t="inlineStr">
        <is>
          <t>Signed in; cart items still present</t>
        </is>
      </c>
      <c r="K115" s="13" t="inlineStr">
        <is>
          <t>D-03</t>
        </is>
      </c>
      <c r="L115" s="14" t="inlineStr">
        <is>
          <t>Not Run</t>
        </is>
      </c>
      <c r="M115" s="14" t="inlineStr"/>
      <c r="N115" s="14" t="inlineStr"/>
      <c r="O115" s="14" t="inlineStr"/>
      <c r="P115" s="14" t="inlineStr"/>
      <c r="Q115" s="14" t="inlineStr"/>
    </row>
    <row r="116">
      <c r="A116" s="13" t="inlineStr">
        <is>
          <t>TC-WEB-115</t>
        </is>
      </c>
      <c r="B116" s="13" t="inlineStr">
        <is>
          <t>Checkout</t>
        </is>
      </c>
      <c r="C116" s="13" t="inlineStr">
        <is>
          <t>Account step</t>
        </is>
      </c>
      <c r="D116" s="13" t="inlineStr">
        <is>
          <t>Account step validates inputs before calling the server</t>
        </is>
      </c>
      <c r="E116" s="13" t="inlineStr">
        <is>
          <t>Negative</t>
        </is>
      </c>
      <c r="F116" s="13" t="inlineStr">
        <is>
          <t>P2</t>
        </is>
      </c>
      <c r="G116" s="13" t="inlineStr">
        <is>
          <t>Guest, clean browser (no localStorage)</t>
        </is>
      </c>
      <c r="H116" s="13" t="inlineStr">
        <is>
          <t>Empty fields, bad email, short password</t>
        </is>
      </c>
      <c r="I116" s="13" t="inlineStr">
        <is>
          <t>1. Continue with each</t>
        </is>
      </c>
      <c r="J116" s="13" t="inlineStr">
        <is>
          <t>Field-level errors, same rules as /register</t>
        </is>
      </c>
      <c r="K116" s="13" t="inlineStr"/>
      <c r="L116" s="14" t="inlineStr">
        <is>
          <t>Not Run</t>
        </is>
      </c>
      <c r="M116" s="14" t="inlineStr"/>
      <c r="N116" s="14" t="inlineStr"/>
      <c r="O116" s="14" t="inlineStr"/>
      <c r="P116" s="14" t="inlineStr"/>
      <c r="Q116" s="14" t="inlineStr"/>
    </row>
    <row r="117">
      <c r="A117" s="13" t="inlineStr">
        <is>
          <t>TC-WEB-116</t>
        </is>
      </c>
      <c r="B117" s="13" t="inlineStr">
        <is>
          <t>Checkout</t>
        </is>
      </c>
      <c r="C117" s="13" t="inlineStr">
        <is>
          <t>Account step</t>
        </is>
      </c>
      <c r="D117" s="13" t="inlineStr">
        <is>
          <t>Signed-in customer skips straight past account step</t>
        </is>
      </c>
      <c r="E117" s="13" t="inlineStr">
        <is>
          <t>Functional</t>
        </is>
      </c>
      <c r="F117" s="13" t="inlineStr">
        <is>
          <t>P2</t>
        </is>
      </c>
      <c r="G117" s="13" t="inlineStr">
        <is>
          <t>Signed in as a customer</t>
        </is>
      </c>
      <c r="H117" s="13" t="inlineStr"/>
      <c r="I117" s="13" t="inlineStr">
        <is>
          <t>1. Open /checkout</t>
        </is>
      </c>
      <c r="J117" s="13" t="inlineStr">
        <is>
          <t>"You are signed in" shown; Continue goes to next step</t>
        </is>
      </c>
      <c r="K117" s="13" t="inlineStr"/>
      <c r="L117" s="14" t="inlineStr">
        <is>
          <t>Not Run</t>
        </is>
      </c>
      <c r="M117" s="14" t="inlineStr"/>
      <c r="N117" s="14" t="inlineStr"/>
      <c r="O117" s="14" t="inlineStr"/>
      <c r="P117" s="14" t="inlineStr"/>
      <c r="Q117" s="14" t="inlineStr"/>
    </row>
    <row r="118">
      <c r="A118" s="13" t="inlineStr">
        <is>
          <t>TC-WEB-117</t>
        </is>
      </c>
      <c r="B118" s="13" t="inlineStr">
        <is>
          <t>Checkout</t>
        </is>
      </c>
      <c r="C118" s="13" t="inlineStr">
        <is>
          <t>Dog step</t>
        </is>
      </c>
      <c r="D118" s="13" t="inlineStr">
        <is>
          <t>Dog name required when buying a subscription</t>
        </is>
      </c>
      <c r="E118" s="13" t="inlineStr">
        <is>
          <t>Negative</t>
        </is>
      </c>
      <c r="F118" s="13" t="inlineStr">
        <is>
          <t>P1</t>
        </is>
      </c>
      <c r="G118" s="13" t="inlineStr">
        <is>
          <t>Plan in cart</t>
        </is>
      </c>
      <c r="H118" s="13" t="inlineStr"/>
      <c r="I118" s="13" t="inlineStr">
        <is>
          <t>1. Leave name empty
2. Continue</t>
        </is>
      </c>
      <c r="J118" s="13" t="inlineStr">
        <is>
          <t>"Please tell us your dog's name"</t>
        </is>
      </c>
      <c r="K118" s="13" t="inlineStr"/>
      <c r="L118" s="14" t="inlineStr">
        <is>
          <t>Not Run</t>
        </is>
      </c>
      <c r="M118" s="14" t="inlineStr"/>
      <c r="N118" s="14" t="inlineStr"/>
      <c r="O118" s="14" t="inlineStr"/>
      <c r="P118" s="14" t="inlineStr"/>
      <c r="Q118" s="14" t="inlineStr"/>
    </row>
    <row r="119">
      <c r="A119" s="13" t="inlineStr">
        <is>
          <t>TC-WEB-118</t>
        </is>
      </c>
      <c r="B119" s="13" t="inlineStr">
        <is>
          <t>Checkout</t>
        </is>
      </c>
      <c r="C119" s="13" t="inlineStr">
        <is>
          <t>Dog step</t>
        </is>
      </c>
      <c r="D119" s="13" t="inlineStr">
        <is>
          <t>Full dog profile is saved</t>
        </is>
      </c>
      <c r="E119" s="13" t="inlineStr">
        <is>
          <t>Functional</t>
        </is>
      </c>
      <c r="F119" s="13" t="inlineStr">
        <is>
          <t>P1</t>
        </is>
      </c>
      <c r="G119" s="13" t="inlineStr">
        <is>
          <t>Plan in cart</t>
        </is>
      </c>
      <c r="H119" s="13" t="inlineStr">
        <is>
          <t>Name Rex, Labrador, Large, allergies Chicken, likes Beef, Ball, Power chewer</t>
        </is>
      </c>
      <c r="I119" s="13" t="inlineStr">
        <is>
          <t>1. Fill profile
2. Continue
3. Check dog in admin/customer record</t>
        </is>
      </c>
      <c r="J119" s="13" t="inlineStr">
        <is>
          <t>All fields saved to the customer's dog</t>
        </is>
      </c>
      <c r="K119" s="13" t="inlineStr"/>
      <c r="L119" s="14" t="inlineStr">
        <is>
          <t>Not Run</t>
        </is>
      </c>
      <c r="M119" s="14" t="inlineStr"/>
      <c r="N119" s="14" t="inlineStr"/>
      <c r="O119" s="14" t="inlineStr"/>
      <c r="P119" s="14" t="inlineStr"/>
      <c r="Q119" s="14" t="inlineStr"/>
    </row>
    <row r="120">
      <c r="A120" s="13" t="inlineStr">
        <is>
          <t>TC-WEB-119</t>
        </is>
      </c>
      <c r="B120" s="13" t="inlineStr">
        <is>
          <t>Checkout</t>
        </is>
      </c>
      <c r="C120" s="13" t="inlineStr">
        <is>
          <t>Dog step</t>
        </is>
      </c>
      <c r="D120" s="13" t="inlineStr">
        <is>
          <t>Dog step optional for products-only order</t>
        </is>
      </c>
      <c r="E120" s="13" t="inlineStr">
        <is>
          <t>Functional</t>
        </is>
      </c>
      <c r="F120" s="13" t="inlineStr">
        <is>
          <t>P2</t>
        </is>
      </c>
      <c r="G120" s="13" t="inlineStr">
        <is>
          <t>Only products in cart</t>
        </is>
      </c>
      <c r="H120" s="13" t="inlineStr"/>
      <c r="I120" s="13" t="inlineStr">
        <is>
          <t>1. Continue without dog</t>
        </is>
      </c>
      <c r="J120" s="13" t="inlineStr">
        <is>
          <t>Allowed; hint says optional</t>
        </is>
      </c>
      <c r="K120" s="13" t="inlineStr"/>
      <c r="L120" s="14" t="inlineStr">
        <is>
          <t>Not Run</t>
        </is>
      </c>
      <c r="M120" s="14" t="inlineStr"/>
      <c r="N120" s="14" t="inlineStr"/>
      <c r="O120" s="14" t="inlineStr"/>
      <c r="P120" s="14" t="inlineStr"/>
      <c r="Q120" s="14" t="inlineStr"/>
    </row>
    <row r="121">
      <c r="A121" s="13" t="inlineStr">
        <is>
          <t>TC-WEB-120</t>
        </is>
      </c>
      <c r="B121" s="13" t="inlineStr">
        <is>
          <t>Checkout</t>
        </is>
      </c>
      <c r="C121" s="13" t="inlineStr">
        <is>
          <t>Dog step</t>
        </is>
      </c>
      <c r="D121" s="13" t="inlineStr">
        <is>
          <t>Going Back and Continue again does not create a duplicate dog</t>
        </is>
      </c>
      <c r="E121" s="13" t="inlineStr">
        <is>
          <t>Edge</t>
        </is>
      </c>
      <c r="F121" s="13" t="inlineStr">
        <is>
          <t>P2</t>
        </is>
      </c>
      <c r="G121" s="13" t="inlineStr">
        <is>
          <t>Plan in cart</t>
        </is>
      </c>
      <c r="H121" s="13" t="inlineStr"/>
      <c r="I121" s="13" t="inlineStr">
        <is>
          <t>1. Fill dog, Continue
2. Back
3. Continue</t>
        </is>
      </c>
      <c r="J121" s="13" t="inlineStr">
        <is>
          <t>Only one dog saved</t>
        </is>
      </c>
      <c r="K121" s="13" t="inlineStr">
        <is>
          <t>D-13</t>
        </is>
      </c>
      <c r="L121" s="14" t="inlineStr">
        <is>
          <t>Not Run</t>
        </is>
      </c>
      <c r="M121" s="14" t="inlineStr"/>
      <c r="N121" s="14" t="inlineStr"/>
      <c r="O121" s="14" t="inlineStr"/>
      <c r="P121" s="14" t="inlineStr"/>
      <c r="Q121" s="14" t="inlineStr"/>
    </row>
    <row r="122">
      <c r="A122" s="13" t="inlineStr">
        <is>
          <t>TC-WEB-121</t>
        </is>
      </c>
      <c r="B122" s="13" t="inlineStr">
        <is>
          <t>Checkout</t>
        </is>
      </c>
      <c r="C122" s="13" t="inlineStr">
        <is>
          <t>Delivery step</t>
        </is>
      </c>
      <c r="D122" s="13" t="inlineStr">
        <is>
          <t>Address fields are required</t>
        </is>
      </c>
      <c r="E122" s="13" t="inlineStr">
        <is>
          <t>Negative</t>
        </is>
      </c>
      <c r="F122" s="13" t="inlineStr">
        <is>
          <t>P1</t>
        </is>
      </c>
      <c r="G122" s="13" t="inlineStr">
        <is>
          <t>At delivery step</t>
        </is>
      </c>
      <c r="H122" s="13" t="inlineStr">
        <is>
          <t>Empty name, phone, city, address</t>
        </is>
      </c>
      <c r="I122" s="13" t="inlineStr">
        <is>
          <t>1. Select a method
2. Continue with empty fields</t>
        </is>
      </c>
      <c r="J122" s="13" t="inlineStr">
        <is>
          <t>Each required field shows an error; cannot continue</t>
        </is>
      </c>
      <c r="K122" s="13" t="inlineStr">
        <is>
          <t>D-11</t>
        </is>
      </c>
      <c r="L122" s="14" t="inlineStr">
        <is>
          <t>Not Run</t>
        </is>
      </c>
      <c r="M122" s="14" t="inlineStr"/>
      <c r="N122" s="14" t="inlineStr"/>
      <c r="O122" s="14" t="inlineStr"/>
      <c r="P122" s="14" t="inlineStr"/>
      <c r="Q122" s="14" t="inlineStr"/>
    </row>
    <row r="123">
      <c r="A123" s="13" t="inlineStr">
        <is>
          <t>TC-WEB-122</t>
        </is>
      </c>
      <c r="B123" s="13" t="inlineStr">
        <is>
          <t>Checkout</t>
        </is>
      </c>
      <c r="C123" s="13" t="inlineStr">
        <is>
          <t>Delivery step</t>
        </is>
      </c>
      <c r="D123" s="13" t="inlineStr">
        <is>
          <t>Phone format validated</t>
        </is>
      </c>
      <c r="E123" s="13" t="inlineStr">
        <is>
          <t>Negative</t>
        </is>
      </c>
      <c r="F123" s="13" t="inlineStr">
        <is>
          <t>P2</t>
        </is>
      </c>
      <c r="G123" s="13" t="inlineStr">
        <is>
          <t>At delivery step</t>
        </is>
      </c>
      <c r="H123" s="13" t="inlineStr">
        <is>
          <t>abc, 123</t>
        </is>
      </c>
      <c r="I123" s="13" t="inlineStr">
        <is>
          <t>1. Enter invalid phone</t>
        </is>
      </c>
      <c r="J123" s="13" t="inlineStr">
        <is>
          <t>Error; Georgian format (+995 5xx xxx xxx) accepted</t>
        </is>
      </c>
      <c r="K123" s="13" t="inlineStr">
        <is>
          <t>D-11</t>
        </is>
      </c>
      <c r="L123" s="14" t="inlineStr">
        <is>
          <t>Not Run</t>
        </is>
      </c>
      <c r="M123" s="14" t="inlineStr"/>
      <c r="N123" s="14" t="inlineStr"/>
      <c r="O123" s="14" t="inlineStr"/>
      <c r="P123" s="14" t="inlineStr"/>
      <c r="Q123" s="14" t="inlineStr"/>
    </row>
    <row r="124">
      <c r="A124" s="13" t="inlineStr">
        <is>
          <t>TC-WEB-123</t>
        </is>
      </c>
      <c r="B124" s="13" t="inlineStr">
        <is>
          <t>Checkout</t>
        </is>
      </c>
      <c r="C124" s="13" t="inlineStr">
        <is>
          <t>Delivery step</t>
        </is>
      </c>
      <c r="D124" s="13" t="inlineStr">
        <is>
          <t>Delivery method required</t>
        </is>
      </c>
      <c r="E124" s="13" t="inlineStr">
        <is>
          <t>Negative</t>
        </is>
      </c>
      <c r="F124" s="13" t="inlineStr">
        <is>
          <t>P2</t>
        </is>
      </c>
      <c r="G124" s="13" t="inlineStr">
        <is>
          <t>At delivery step</t>
        </is>
      </c>
      <c r="H124" s="13" t="inlineStr"/>
      <c r="I124" s="13" t="inlineStr">
        <is>
          <t>1. Continue with no method selected</t>
        </is>
      </c>
      <c r="J124" s="13" t="inlineStr">
        <is>
          <t>"Please select a delivery method"</t>
        </is>
      </c>
      <c r="K124" s="13" t="inlineStr"/>
      <c r="L124" s="14" t="inlineStr">
        <is>
          <t>Not Run</t>
        </is>
      </c>
      <c r="M124" s="14" t="inlineStr"/>
      <c r="N124" s="14" t="inlineStr"/>
      <c r="O124" s="14" t="inlineStr"/>
      <c r="P124" s="14" t="inlineStr"/>
      <c r="Q124" s="14" t="inlineStr"/>
    </row>
    <row r="125">
      <c r="A125" s="13" t="inlineStr">
        <is>
          <t>TC-WEB-124</t>
        </is>
      </c>
      <c r="B125" s="13" t="inlineStr">
        <is>
          <t>Checkout</t>
        </is>
      </c>
      <c r="C125" s="13" t="inlineStr">
        <is>
          <t>Delivery step</t>
        </is>
      </c>
      <c r="D125" s="13" t="inlineStr">
        <is>
          <t>Delivery methods and prices listed</t>
        </is>
      </c>
      <c r="E125" s="13" t="inlineStr">
        <is>
          <t>Functional</t>
        </is>
      </c>
      <c r="F125" s="13" t="inlineStr">
        <is>
          <t>P1</t>
        </is>
      </c>
      <c r="G125" s="13" t="inlineStr">
        <is>
          <t>At delivery step</t>
        </is>
      </c>
      <c r="H125" s="13" t="inlineStr">
        <is>
          <t>Standard ₾5.99, Express ₾12.99</t>
        </is>
      </c>
      <c r="I125" s="13" t="inlineStr">
        <is>
          <t>1. View methods</t>
        </is>
      </c>
      <c r="J125" s="13" t="inlineStr">
        <is>
          <t>Name, description, days and price shown; "Free over ₾X" where configured</t>
        </is>
      </c>
      <c r="K125" s="13" t="inlineStr"/>
      <c r="L125" s="14" t="inlineStr">
        <is>
          <t>Not Run</t>
        </is>
      </c>
      <c r="M125" s="14" t="inlineStr"/>
      <c r="N125" s="14" t="inlineStr"/>
      <c r="O125" s="14" t="inlineStr"/>
      <c r="P125" s="14" t="inlineStr"/>
      <c r="Q125" s="14" t="inlineStr"/>
    </row>
    <row r="126">
      <c r="A126" s="13" t="inlineStr">
        <is>
          <t>TC-WEB-125</t>
        </is>
      </c>
      <c r="B126" s="13" t="inlineStr">
        <is>
          <t>Checkout</t>
        </is>
      </c>
      <c r="C126" s="13" t="inlineStr">
        <is>
          <t>Delivery step</t>
        </is>
      </c>
      <c r="D126" s="13" t="inlineStr">
        <is>
          <t>Free delivery threshold applied</t>
        </is>
      </c>
      <c r="E126" s="13" t="inlineStr">
        <is>
          <t>Functional</t>
        </is>
      </c>
      <c r="F126" s="13" t="inlineStr">
        <is>
          <t>P2</t>
        </is>
      </c>
      <c r="G126" s="13" t="inlineStr">
        <is>
          <t>Method with free threshold</t>
        </is>
      </c>
      <c r="H126" s="13" t="inlineStr">
        <is>
          <t>Subtotal above threshold</t>
        </is>
      </c>
      <c r="I126" s="13" t="inlineStr">
        <is>
          <t>1. Exceed threshold</t>
        </is>
      </c>
      <c r="J126" s="13" t="inlineStr">
        <is>
          <t>Method shows FREE and adds ₾0</t>
        </is>
      </c>
      <c r="K126" s="13" t="inlineStr"/>
      <c r="L126" s="14" t="inlineStr">
        <is>
          <t>Not Run</t>
        </is>
      </c>
      <c r="M126" s="14" t="inlineStr"/>
      <c r="N126" s="14" t="inlineStr"/>
      <c r="O126" s="14" t="inlineStr"/>
      <c r="P126" s="14" t="inlineStr"/>
      <c r="Q126" s="14" t="inlineStr"/>
    </row>
    <row r="127">
      <c r="A127" s="13" t="inlineStr">
        <is>
          <t>TC-WEB-126</t>
        </is>
      </c>
      <c r="B127" s="13" t="inlineStr">
        <is>
          <t>Checkout</t>
        </is>
      </c>
      <c r="C127" s="13" t="inlineStr">
        <is>
          <t>Delivery step</t>
        </is>
      </c>
      <c r="D127" s="13" t="inlineStr">
        <is>
          <t>Subscription plans advertised with free delivery are not charged delivery</t>
        </is>
      </c>
      <c r="E127" s="13" t="inlineStr">
        <is>
          <t>Functional</t>
        </is>
      </c>
      <c r="F127" s="13" t="inlineStr">
        <is>
          <t>P1</t>
        </is>
      </c>
      <c r="G127" s="13" t="inlineStr">
        <is>
          <t>Plan with "Free delivery" benefit in cart</t>
        </is>
      </c>
      <c r="H127" s="13" t="inlineStr"/>
      <c r="I127" s="13" t="inlineStr">
        <is>
          <t>1. Reach delivery step
2. Pick a method
3. Review total</t>
        </is>
      </c>
      <c r="J127" s="13" t="inlineStr">
        <is>
          <t>Delivery is ₾0 for the plan, matching what the pricing page promised</t>
        </is>
      </c>
      <c r="K127" s="13" t="inlineStr">
        <is>
          <t>D-30</t>
        </is>
      </c>
      <c r="L127" s="14" t="inlineStr">
        <is>
          <t>Not Run</t>
        </is>
      </c>
      <c r="M127" s="14" t="inlineStr"/>
      <c r="N127" s="14" t="inlineStr"/>
      <c r="O127" s="14" t="inlineStr"/>
      <c r="P127" s="14" t="inlineStr"/>
      <c r="Q127" s="14" t="inlineStr"/>
    </row>
    <row r="128">
      <c r="A128" s="13" t="inlineStr">
        <is>
          <t>TC-WEB-127</t>
        </is>
      </c>
      <c r="B128" s="13" t="inlineStr">
        <is>
          <t>Checkout</t>
        </is>
      </c>
      <c r="C128" s="13" t="inlineStr">
        <is>
          <t>Delivery step</t>
        </is>
      </c>
      <c r="D128" s="13" t="inlineStr">
        <is>
          <t>Signed-in customer's name and phone are pre-filled</t>
        </is>
      </c>
      <c r="E128" s="13" t="inlineStr">
        <is>
          <t>UI</t>
        </is>
      </c>
      <c r="F128" s="13" t="inlineStr">
        <is>
          <t>P3</t>
        </is>
      </c>
      <c r="G128" s="13" t="inlineStr">
        <is>
          <t>Signed in as a customer</t>
        </is>
      </c>
      <c r="H128" s="13" t="inlineStr"/>
      <c r="I128" s="13" t="inlineStr">
        <is>
          <t>1. Reach delivery step</t>
        </is>
      </c>
      <c r="J128" s="13" t="inlineStr">
        <is>
          <t>Name and phone pre-filled from the profile</t>
        </is>
      </c>
      <c r="K128" s="13" t="inlineStr">
        <is>
          <t>D-29</t>
        </is>
      </c>
      <c r="L128" s="14" t="inlineStr">
        <is>
          <t>Not Run</t>
        </is>
      </c>
      <c r="M128" s="14" t="inlineStr"/>
      <c r="N128" s="14" t="inlineStr"/>
      <c r="O128" s="14" t="inlineStr"/>
      <c r="P128" s="14" t="inlineStr"/>
      <c r="Q128" s="14" t="inlineStr"/>
    </row>
    <row r="129">
      <c r="A129" s="13" t="inlineStr">
        <is>
          <t>TC-WEB-128</t>
        </is>
      </c>
      <c r="B129" s="13" t="inlineStr">
        <is>
          <t>Checkout</t>
        </is>
      </c>
      <c r="C129" s="13" t="inlineStr">
        <is>
          <t>Review</t>
        </is>
      </c>
      <c r="D129" s="13" t="inlineStr">
        <is>
          <t>Review shows items, discount, delivery and correct total</t>
        </is>
      </c>
      <c r="E129" s="13" t="inlineStr">
        <is>
          <t>Functional</t>
        </is>
      </c>
      <c r="F129" s="13" t="inlineStr">
        <is>
          <t>P1</t>
        </is>
      </c>
      <c r="G129" s="13" t="inlineStr">
        <is>
          <t>At review step</t>
        </is>
      </c>
      <c r="H129" s="13" t="inlineStr"/>
      <c r="I129" s="13" t="inlineStr">
        <is>
          <t>1. Check every line</t>
        </is>
      </c>
      <c r="J129" s="13" t="inlineStr">
        <is>
          <t>Total = subtotal − discount + delivery; Pay button shows the same total</t>
        </is>
      </c>
      <c r="K129" s="13" t="inlineStr"/>
      <c r="L129" s="14" t="inlineStr">
        <is>
          <t>Not Run</t>
        </is>
      </c>
      <c r="M129" s="14" t="inlineStr"/>
      <c r="N129" s="14" t="inlineStr"/>
      <c r="O129" s="14" t="inlineStr"/>
      <c r="P129" s="14" t="inlineStr"/>
      <c r="Q129" s="14" t="inlineStr"/>
    </row>
    <row r="130">
      <c r="A130" s="13" t="inlineStr">
        <is>
          <t>TC-WEB-129</t>
        </is>
      </c>
      <c r="B130" s="13" t="inlineStr">
        <is>
          <t>Checkout</t>
        </is>
      </c>
      <c r="C130" s="13" t="inlineStr">
        <is>
          <t>Review</t>
        </is>
      </c>
      <c r="D130" s="13" t="inlineStr">
        <is>
          <t>Auto-renewal toggle for subscriptions</t>
        </is>
      </c>
      <c r="E130" s="13" t="inlineStr">
        <is>
          <t>Functional</t>
        </is>
      </c>
      <c r="F130" s="13" t="inlineStr">
        <is>
          <t>P2</t>
        </is>
      </c>
      <c r="G130" s="13" t="inlineStr">
        <is>
          <t>Plan in cart, not a gift</t>
        </is>
      </c>
      <c r="H130" s="13" t="inlineStr"/>
      <c r="I130" s="13" t="inlineStr">
        <is>
          <t>1. Toggle auto-renewal off
2. Place order
3. Check subscription</t>
        </is>
      </c>
      <c r="J130" s="13" t="inlineStr">
        <is>
          <t>Subscription created with auto-renewal off</t>
        </is>
      </c>
      <c r="K130" s="13" t="inlineStr"/>
      <c r="L130" s="14" t="inlineStr">
        <is>
          <t>Not Run</t>
        </is>
      </c>
      <c r="M130" s="14" t="inlineStr"/>
      <c r="N130" s="14" t="inlineStr"/>
      <c r="O130" s="14" t="inlineStr"/>
      <c r="P130" s="14" t="inlineStr"/>
      <c r="Q130" s="14" t="inlineStr"/>
    </row>
    <row r="131">
      <c r="A131" s="13" t="inlineStr">
        <is>
          <t>TC-WEB-130</t>
        </is>
      </c>
      <c r="B131" s="13" t="inlineStr">
        <is>
          <t>Checkout</t>
        </is>
      </c>
      <c r="C131" s="13" t="inlineStr">
        <is>
          <t>Review</t>
        </is>
      </c>
      <c r="D131" s="13" t="inlineStr">
        <is>
          <t>Terms link is present and opens terms</t>
        </is>
      </c>
      <c r="E131" s="13" t="inlineStr">
        <is>
          <t>Functional</t>
        </is>
      </c>
      <c r="F131" s="13" t="inlineStr">
        <is>
          <t>P3</t>
        </is>
      </c>
      <c r="G131" s="13" t="inlineStr">
        <is>
          <t>At review step</t>
        </is>
      </c>
      <c r="H131" s="13" t="inlineStr"/>
      <c r="I131" s="13" t="inlineStr">
        <is>
          <t>1. Click Terms and Conditions</t>
        </is>
      </c>
      <c r="J131" s="13" t="inlineStr">
        <is>
          <t>Terms page opens</t>
        </is>
      </c>
      <c r="K131" s="13" t="inlineStr"/>
      <c r="L131" s="14" t="inlineStr">
        <is>
          <t>Not Run</t>
        </is>
      </c>
      <c r="M131" s="14" t="inlineStr"/>
      <c r="N131" s="14" t="inlineStr"/>
      <c r="O131" s="14" t="inlineStr"/>
      <c r="P131" s="14" t="inlineStr"/>
      <c r="Q131" s="14" t="inlineStr"/>
    </row>
    <row r="132">
      <c r="A132" s="13" t="inlineStr">
        <is>
          <t>TC-WEB-131</t>
        </is>
      </c>
      <c r="B132" s="13" t="inlineStr">
        <is>
          <t>Checkout</t>
        </is>
      </c>
      <c r="C132" s="13" t="inlineStr">
        <is>
          <t>Place order</t>
        </is>
      </c>
      <c r="D132" s="13" t="inlineStr">
        <is>
          <t>Place order creates order and opens payment page</t>
        </is>
      </c>
      <c r="E132" s="13" t="inlineStr">
        <is>
          <t>Integration</t>
        </is>
      </c>
      <c r="F132" s="13" t="inlineStr">
        <is>
          <t>P1</t>
        </is>
      </c>
      <c r="G132" s="13" t="inlineStr">
        <is>
          <t>At review step</t>
        </is>
      </c>
      <c r="H132" s="13" t="inlineStr"/>
      <c r="I132" s="13" t="inlineStr">
        <is>
          <t>1. Click Pay ₾X</t>
        </is>
      </c>
      <c r="J132" s="13" t="inlineStr">
        <is>
          <t>Order created; /checkout/thank-you?order=… shows "Order created" and Pay Now; cart emptied</t>
        </is>
      </c>
      <c r="K132" s="13" t="inlineStr"/>
      <c r="L132" s="14" t="inlineStr">
        <is>
          <t>Not Run</t>
        </is>
      </c>
      <c r="M132" s="14" t="inlineStr"/>
      <c r="N132" s="14" t="inlineStr"/>
      <c r="O132" s="14" t="inlineStr"/>
      <c r="P132" s="14" t="inlineStr"/>
      <c r="Q132" s="14" t="inlineStr"/>
    </row>
    <row r="133">
      <c r="A133" s="13" t="inlineStr">
        <is>
          <t>TC-WEB-132</t>
        </is>
      </c>
      <c r="B133" s="13" t="inlineStr">
        <is>
          <t>Checkout</t>
        </is>
      </c>
      <c r="C133" s="13" t="inlineStr">
        <is>
          <t>Place order</t>
        </is>
      </c>
      <c r="D133" s="13" t="inlineStr">
        <is>
          <t>Double-clicking Pay creates only one order</t>
        </is>
      </c>
      <c r="E133" s="13" t="inlineStr">
        <is>
          <t>Edge</t>
        </is>
      </c>
      <c r="F133" s="13" t="inlineStr">
        <is>
          <t>P1</t>
        </is>
      </c>
      <c r="G133" s="13" t="inlineStr">
        <is>
          <t>At review step</t>
        </is>
      </c>
      <c r="H133" s="13" t="inlineStr"/>
      <c r="I133" s="13" t="inlineStr">
        <is>
          <t>1. Double-click Pay</t>
        </is>
      </c>
      <c r="J133" s="13" t="inlineStr">
        <is>
          <t>Exactly one order in My Orders</t>
        </is>
      </c>
      <c r="K133" s="13" t="inlineStr"/>
      <c r="L133" s="14" t="inlineStr">
        <is>
          <t>Not Run</t>
        </is>
      </c>
      <c r="M133" s="14" t="inlineStr"/>
      <c r="N133" s="14" t="inlineStr"/>
      <c r="O133" s="14" t="inlineStr"/>
      <c r="P133" s="14" t="inlineStr"/>
      <c r="Q133" s="14" t="inlineStr"/>
    </row>
    <row r="134">
      <c r="A134" s="13" t="inlineStr">
        <is>
          <t>TC-WEB-133</t>
        </is>
      </c>
      <c r="B134" s="13" t="inlineStr">
        <is>
          <t>Checkout</t>
        </is>
      </c>
      <c r="C134" s="13" t="inlineStr">
        <is>
          <t>Place order</t>
        </is>
      </c>
      <c r="D134" s="13" t="inlineStr">
        <is>
          <t>Price changes between cart and order are handled</t>
        </is>
      </c>
      <c r="E134" s="13" t="inlineStr">
        <is>
          <t>Edge</t>
        </is>
      </c>
      <c r="F134" s="13" t="inlineStr">
        <is>
          <t>P2</t>
        </is>
      </c>
      <c r="G134" s="13" t="inlineStr">
        <is>
          <t>Admin edits product price while customer is at review</t>
        </is>
      </c>
      <c r="H134" s="13" t="inlineStr"/>
      <c r="I134" s="13" t="inlineStr">
        <is>
          <t>1. Change price in admin
2. Place order</t>
        </is>
      </c>
      <c r="J134" s="13" t="inlineStr">
        <is>
          <t>Customer is told and sees the new total before paying</t>
        </is>
      </c>
      <c r="K134" s="13" t="inlineStr"/>
      <c r="L134" s="14" t="inlineStr">
        <is>
          <t>Not Run</t>
        </is>
      </c>
      <c r="M134" s="14" t="inlineStr"/>
      <c r="N134" s="14" t="inlineStr"/>
      <c r="O134" s="14" t="inlineStr"/>
      <c r="P134" s="14" t="inlineStr"/>
      <c r="Q134" s="14" t="inlineStr"/>
    </row>
    <row r="135">
      <c r="A135" s="13" t="inlineStr">
        <is>
          <t>TC-WEB-134</t>
        </is>
      </c>
      <c r="B135" s="13" t="inlineStr">
        <is>
          <t>Checkout</t>
        </is>
      </c>
      <c r="C135" s="13" t="inlineStr">
        <is>
          <t>Place order</t>
        </is>
      </c>
      <c r="D135" s="13" t="inlineStr">
        <is>
          <t>Stock runs out before placing order</t>
        </is>
      </c>
      <c r="E135" s="13" t="inlineStr">
        <is>
          <t>Edge</t>
        </is>
      </c>
      <c r="F135" s="13" t="inlineStr">
        <is>
          <t>P2</t>
        </is>
      </c>
      <c r="G135" s="13" t="inlineStr">
        <is>
          <t>Product with stock 1 in two carts</t>
        </is>
      </c>
      <c r="H135" s="13" t="inlineStr"/>
      <c r="I135" s="13" t="inlineStr">
        <is>
          <t>1. Customer A orders
2. Customer B places order</t>
        </is>
      </c>
      <c r="J135" s="13" t="inlineStr">
        <is>
          <t>B gets a clear out-of-stock message; no overselling</t>
        </is>
      </c>
      <c r="K135" s="13" t="inlineStr"/>
      <c r="L135" s="14" t="inlineStr">
        <is>
          <t>Not Run</t>
        </is>
      </c>
      <c r="M135" s="14" t="inlineStr"/>
      <c r="N135" s="14" t="inlineStr"/>
      <c r="O135" s="14" t="inlineStr"/>
      <c r="P135" s="14" t="inlineStr"/>
      <c r="Q135" s="14" t="inlineStr"/>
    </row>
    <row r="136">
      <c r="A136" s="13" t="inlineStr">
        <is>
          <t>TC-WEB-135</t>
        </is>
      </c>
      <c r="B136" s="13" t="inlineStr">
        <is>
          <t>Checkout</t>
        </is>
      </c>
      <c r="C136" s="13" t="inlineStr">
        <is>
          <t>Navigation</t>
        </is>
      </c>
      <c r="D136" s="13" t="inlineStr">
        <is>
          <t>Back to cart link works and keeps data</t>
        </is>
      </c>
      <c r="E136" s="13" t="inlineStr">
        <is>
          <t>Functional</t>
        </is>
      </c>
      <c r="F136" s="13" t="inlineStr">
        <is>
          <t>P3</t>
        </is>
      </c>
      <c r="G136" s="13" t="inlineStr">
        <is>
          <t>Mid-checkout</t>
        </is>
      </c>
      <c r="H136" s="13" t="inlineStr"/>
      <c r="I136" s="13" t="inlineStr">
        <is>
          <t>1. Click ← Back to cart
2. Return to checkout</t>
        </is>
      </c>
      <c r="J136" s="13" t="inlineStr">
        <is>
          <t>Cart intact</t>
        </is>
      </c>
      <c r="K136" s="13" t="inlineStr"/>
      <c r="L136" s="14" t="inlineStr">
        <is>
          <t>Not Run</t>
        </is>
      </c>
      <c r="M136" s="14" t="inlineStr"/>
      <c r="N136" s="14" t="inlineStr"/>
      <c r="O136" s="14" t="inlineStr"/>
      <c r="P136" s="14" t="inlineStr"/>
      <c r="Q136" s="14" t="inlineStr"/>
    </row>
    <row r="137">
      <c r="A137" s="13" t="inlineStr">
        <is>
          <t>TC-WEB-136</t>
        </is>
      </c>
      <c r="B137" s="13" t="inlineStr">
        <is>
          <t>Gift checkout</t>
        </is>
      </c>
      <c r="C137" s="13" t="inlineStr">
        <is>
          <t>Steps</t>
        </is>
      </c>
      <c r="D137" s="13" t="inlineStr">
        <is>
          <t>Gift checkout replaces dog step with Gift Details</t>
        </is>
      </c>
      <c r="E137" s="13" t="inlineStr">
        <is>
          <t>Functional</t>
        </is>
      </c>
      <c r="F137" s="13" t="inlineStr">
        <is>
          <t>P1</t>
        </is>
      </c>
      <c r="G137" s="13" t="inlineStr">
        <is>
          <t>Plan chosen in Gift mode</t>
        </is>
      </c>
      <c r="H137" s="13" t="inlineStr"/>
      <c r="I137" s="13" t="inlineStr">
        <is>
          <t>1. Reach step 2</t>
        </is>
      </c>
      <c r="J137" s="13" t="inlineStr">
        <is>
          <t>Step labels: Account, Gift Details, Delivery, Review; no dog form</t>
        </is>
      </c>
      <c r="K137" s="13" t="inlineStr"/>
      <c r="L137" s="14" t="inlineStr">
        <is>
          <t>Not Run</t>
        </is>
      </c>
      <c r="M137" s="14" t="inlineStr"/>
      <c r="N137" s="14" t="inlineStr"/>
      <c r="O137" s="14" t="inlineStr"/>
      <c r="P137" s="14" t="inlineStr"/>
      <c r="Q137" s="14" t="inlineStr"/>
    </row>
    <row r="138">
      <c r="A138" s="13" t="inlineStr">
        <is>
          <t>TC-WEB-137</t>
        </is>
      </c>
      <c r="B138" s="13" t="inlineStr">
        <is>
          <t>Gift checkout</t>
        </is>
      </c>
      <c r="C138" s="13" t="inlineStr">
        <is>
          <t>Validation</t>
        </is>
      </c>
      <c r="D138" s="13" t="inlineStr">
        <is>
          <t>Recipient name and valid email required</t>
        </is>
      </c>
      <c r="E138" s="13" t="inlineStr">
        <is>
          <t>Negative</t>
        </is>
      </c>
      <c r="F138" s="13" t="inlineStr">
        <is>
          <t>P1</t>
        </is>
      </c>
      <c r="G138" s="13" t="inlineStr">
        <is>
          <t>At Gift Details</t>
        </is>
      </c>
      <c r="H138" s="13" t="inlineStr">
        <is>
          <t>Empty name; email "nino@"</t>
        </is>
      </c>
      <c r="I138" s="13" t="inlineStr">
        <is>
          <t>1. Continue with each</t>
        </is>
      </c>
      <c r="J138" s="13" t="inlineStr">
        <is>
          <t>"Who is this gift for?" / "Enter a valid email…"</t>
        </is>
      </c>
      <c r="K138" s="13" t="inlineStr"/>
      <c r="L138" s="14" t="inlineStr">
        <is>
          <t>Not Run</t>
        </is>
      </c>
      <c r="M138" s="14" t="inlineStr"/>
      <c r="N138" s="14" t="inlineStr"/>
      <c r="O138" s="14" t="inlineStr"/>
      <c r="P138" s="14" t="inlineStr"/>
      <c r="Q138" s="14" t="inlineStr"/>
    </row>
    <row r="139">
      <c r="A139" s="13" t="inlineStr">
        <is>
          <t>TC-WEB-138</t>
        </is>
      </c>
      <c r="B139" s="13" t="inlineStr">
        <is>
          <t>Gift checkout</t>
        </is>
      </c>
      <c r="C139" s="13" t="inlineStr">
        <is>
          <t>Message</t>
        </is>
      </c>
      <c r="D139" s="13" t="inlineStr">
        <is>
          <t>Message limited to 1000 characters with counter</t>
        </is>
      </c>
      <c r="E139" s="13" t="inlineStr">
        <is>
          <t>Edge</t>
        </is>
      </c>
      <c r="F139" s="13" t="inlineStr">
        <is>
          <t>P3</t>
        </is>
      </c>
      <c r="G139" s="13" t="inlineStr">
        <is>
          <t>At Gift Details</t>
        </is>
      </c>
      <c r="H139" s="13" t="inlineStr">
        <is>
          <t>1001 chars</t>
        </is>
      </c>
      <c r="I139" s="13" t="inlineStr">
        <is>
          <t>1. Paste 1001 characters</t>
        </is>
      </c>
      <c r="J139" s="13" t="inlineStr">
        <is>
          <t>Input stops at 1000; counter shows 1000/1000</t>
        </is>
      </c>
      <c r="K139" s="13" t="inlineStr"/>
      <c r="L139" s="14" t="inlineStr">
        <is>
          <t>Not Run</t>
        </is>
      </c>
      <c r="M139" s="14" t="inlineStr"/>
      <c r="N139" s="14" t="inlineStr"/>
      <c r="O139" s="14" t="inlineStr"/>
      <c r="P139" s="14" t="inlineStr"/>
      <c r="Q139" s="14" t="inlineStr"/>
    </row>
    <row r="140">
      <c r="A140" s="13" t="inlineStr">
        <is>
          <t>TC-WEB-139</t>
        </is>
      </c>
      <c r="B140" s="13" t="inlineStr">
        <is>
          <t>Gift checkout</t>
        </is>
      </c>
      <c r="C140" s="13" t="inlineStr">
        <is>
          <t>Review</t>
        </is>
      </c>
      <c r="D140" s="13" t="inlineStr">
        <is>
          <t>Review shows gift card summary and no auto-renewal option</t>
        </is>
      </c>
      <c r="E140" s="13" t="inlineStr">
        <is>
          <t>Functional</t>
        </is>
      </c>
      <c r="F140" s="13" t="inlineStr">
        <is>
          <t>P2</t>
        </is>
      </c>
      <c r="G140" s="13" t="inlineStr">
        <is>
          <t>At review</t>
        </is>
      </c>
      <c r="H140" s="13" t="inlineStr"/>
      <c r="I140" s="13" t="inlineStr">
        <is>
          <t>1. Inspect review</t>
        </is>
      </c>
      <c r="J140" s="13" t="inlineStr">
        <is>
          <t>Shows recipient name, email, message; no auto-renewal toggle</t>
        </is>
      </c>
      <c r="K140" s="13" t="inlineStr"/>
      <c r="L140" s="14" t="inlineStr">
        <is>
          <t>Not Run</t>
        </is>
      </c>
      <c r="M140" s="14" t="inlineStr"/>
      <c r="N140" s="14" t="inlineStr"/>
      <c r="O140" s="14" t="inlineStr"/>
      <c r="P140" s="14" t="inlineStr"/>
      <c r="Q140" s="14" t="inlineStr"/>
    </row>
    <row r="141">
      <c r="A141" s="13" t="inlineStr">
        <is>
          <t>TC-WEB-140</t>
        </is>
      </c>
      <c r="B141" s="13" t="inlineStr">
        <is>
          <t>Gift checkout</t>
        </is>
      </c>
      <c r="C141" s="13" t="inlineStr">
        <is>
          <t>Order</t>
        </is>
      </c>
      <c r="D141" s="13" t="inlineStr">
        <is>
          <t>Gift order is created with auto-renewal off</t>
        </is>
      </c>
      <c r="E141" s="13" t="inlineStr">
        <is>
          <t>Integration</t>
        </is>
      </c>
      <c r="F141" s="13" t="inlineStr">
        <is>
          <t>P1</t>
        </is>
      </c>
      <c r="G141" s="13" t="inlineStr">
        <is>
          <t>At review</t>
        </is>
      </c>
      <c r="H141" s="13" t="inlineStr"/>
      <c r="I141" s="13" t="inlineStr">
        <is>
          <t>1. Place order
2. Pay
3. Check subscription in admin</t>
        </is>
      </c>
      <c r="J141" s="13" t="inlineStr">
        <is>
          <t>Gift subscription, auto-renewal false, recipient stored</t>
        </is>
      </c>
      <c r="K141" s="13" t="inlineStr"/>
      <c r="L141" s="14" t="inlineStr">
        <is>
          <t>Not Run</t>
        </is>
      </c>
      <c r="M141" s="14" t="inlineStr"/>
      <c r="N141" s="14" t="inlineStr"/>
      <c r="O141" s="14" t="inlineStr"/>
      <c r="P141" s="14" t="inlineStr"/>
      <c r="Q141" s="14" t="inlineStr"/>
    </row>
    <row r="142">
      <c r="A142" s="13" t="inlineStr">
        <is>
          <t>TC-WEB-141</t>
        </is>
      </c>
      <c r="B142" s="13" t="inlineStr">
        <is>
          <t>Gift checkout</t>
        </is>
      </c>
      <c r="C142" s="13" t="inlineStr">
        <is>
          <t>Email</t>
        </is>
      </c>
      <c r="D142" s="13" t="inlineStr">
        <is>
          <t>Recipient receives gift email after payment</t>
        </is>
      </c>
      <c r="E142" s="13" t="inlineStr">
        <is>
          <t>Integration</t>
        </is>
      </c>
      <c r="F142" s="13" t="inlineStr">
        <is>
          <t>P1</t>
        </is>
      </c>
      <c r="G142" s="13" t="inlineStr">
        <is>
          <t>Payment approved; email service configured</t>
        </is>
      </c>
      <c r="H142" s="13" t="inlineStr"/>
      <c r="I142" s="13" t="inlineStr">
        <is>
          <t>1. Complete paid gift order
2. Check recipient inbox</t>
        </is>
      </c>
      <c r="J142" s="13" t="inlineStr">
        <is>
          <t>Email with claim link /gift/[token] arrives</t>
        </is>
      </c>
      <c r="K142" s="13" t="inlineStr"/>
      <c r="L142" s="14" t="inlineStr">
        <is>
          <t>Not Run</t>
        </is>
      </c>
      <c r="M142" s="14" t="inlineStr"/>
      <c r="N142" s="14" t="inlineStr"/>
      <c r="O142" s="14" t="inlineStr"/>
      <c r="P142" s="14" t="inlineStr"/>
      <c r="Q142" s="14" t="inlineStr"/>
    </row>
    <row r="143">
      <c r="A143" s="13" t="inlineStr">
        <is>
          <t>TC-WEB-142</t>
        </is>
      </c>
      <c r="B143" s="13" t="inlineStr">
        <is>
          <t>Payment</t>
        </is>
      </c>
      <c r="C143" s="13" t="inlineStr">
        <is>
          <t>Pay now</t>
        </is>
      </c>
      <c r="D143" s="13" t="inlineStr">
        <is>
          <t>Pay Now redirects to Flitt payment page</t>
        </is>
      </c>
      <c r="E143" s="13" t="inlineStr">
        <is>
          <t>Integration</t>
        </is>
      </c>
      <c r="F143" s="13" t="inlineStr">
        <is>
          <t>P1</t>
        </is>
      </c>
      <c r="G143" s="13" t="inlineStr">
        <is>
          <t>Order created; Flitt test keys configured</t>
        </is>
      </c>
      <c r="H143" s="13" t="inlineStr"/>
      <c r="I143" s="13" t="inlineStr">
        <is>
          <t>1. Click Pay Now</t>
        </is>
      </c>
      <c r="J143" s="13" t="inlineStr">
        <is>
          <t>Redirected to Flitt checkout with correct amount</t>
        </is>
      </c>
      <c r="K143" s="13" t="inlineStr">
        <is>
          <t>D-25</t>
        </is>
      </c>
      <c r="L143" s="14" t="inlineStr">
        <is>
          <t>Not Run</t>
        </is>
      </c>
      <c r="M143" s="14" t="inlineStr"/>
      <c r="N143" s="14" t="inlineStr"/>
      <c r="O143" s="14" t="inlineStr"/>
      <c r="P143" s="14" t="inlineStr"/>
      <c r="Q143" s="14" t="inlineStr"/>
    </row>
    <row r="144">
      <c r="A144" s="13" t="inlineStr">
        <is>
          <t>TC-WEB-143</t>
        </is>
      </c>
      <c r="B144" s="13" t="inlineStr">
        <is>
          <t>Payment</t>
        </is>
      </c>
      <c r="C144" s="13" t="inlineStr">
        <is>
          <t>Pay now</t>
        </is>
      </c>
      <c r="D144" s="13" t="inlineStr">
        <is>
          <t>Payment initiation failure shows an error</t>
        </is>
      </c>
      <c r="E144" s="13" t="inlineStr">
        <is>
          <t>Negative</t>
        </is>
      </c>
      <c r="F144" s="13" t="inlineStr">
        <is>
          <t>P2</t>
        </is>
      </c>
      <c r="G144" s="13" t="inlineStr">
        <is>
          <t>Flitt not configured</t>
        </is>
      </c>
      <c r="H144" s="13" t="inlineStr"/>
      <c r="I144" s="13" t="inlineStr">
        <is>
          <t>1. Click Pay Now</t>
        </is>
      </c>
      <c r="J144" s="13" t="inlineStr">
        <is>
          <t>"Failed to initiate payment" message; button re-enabled</t>
        </is>
      </c>
      <c r="K144" s="13" t="inlineStr">
        <is>
          <t>D-25</t>
        </is>
      </c>
      <c r="L144" s="14" t="inlineStr">
        <is>
          <t>Not Run</t>
        </is>
      </c>
      <c r="M144" s="14" t="inlineStr"/>
      <c r="N144" s="14" t="inlineStr"/>
      <c r="O144" s="14" t="inlineStr"/>
      <c r="P144" s="14" t="inlineStr"/>
      <c r="Q144" s="14" t="inlineStr"/>
    </row>
    <row r="145">
      <c r="A145" s="13" t="inlineStr">
        <is>
          <t>TC-WEB-144</t>
        </is>
      </c>
      <c r="B145" s="13" t="inlineStr">
        <is>
          <t>Payment</t>
        </is>
      </c>
      <c r="C145" s="13" t="inlineStr">
        <is>
          <t>Result</t>
        </is>
      </c>
      <c r="D145" s="13" t="inlineStr">
        <is>
          <t>Approved payment shows confirmation and marks order paid</t>
        </is>
      </c>
      <c r="E145" s="13" t="inlineStr">
        <is>
          <t>Integration</t>
        </is>
      </c>
      <c r="F145" s="13" t="inlineStr">
        <is>
          <t>P1</t>
        </is>
      </c>
      <c r="G145" s="13" t="inlineStr">
        <is>
          <t>Flitt test card approved</t>
        </is>
      </c>
      <c r="H145" s="13" t="inlineStr"/>
      <c r="I145" s="13" t="inlineStr">
        <is>
          <t>1. Pay with approved test card</t>
        </is>
      </c>
      <c r="J145" s="13" t="inlineStr">
        <is>
          <t>Returns with payment_status=approved; "Payment confirmed!"; order status PAID; cart empty</t>
        </is>
      </c>
      <c r="K145" s="13" t="inlineStr"/>
      <c r="L145" s="14" t="inlineStr">
        <is>
          <t>Not Run</t>
        </is>
      </c>
      <c r="M145" s="14" t="inlineStr"/>
      <c r="N145" s="14" t="inlineStr"/>
      <c r="O145" s="14" t="inlineStr"/>
      <c r="P145" s="14" t="inlineStr"/>
      <c r="Q145" s="14" t="inlineStr"/>
    </row>
    <row r="146">
      <c r="A146" s="13" t="inlineStr">
        <is>
          <t>TC-WEB-145</t>
        </is>
      </c>
      <c r="B146" s="13" t="inlineStr">
        <is>
          <t>Payment</t>
        </is>
      </c>
      <c r="C146" s="13" t="inlineStr">
        <is>
          <t>Result</t>
        </is>
      </c>
      <c r="D146" s="13" t="inlineStr">
        <is>
          <t>Declined payment shows failure and Try Again</t>
        </is>
      </c>
      <c r="E146" s="13" t="inlineStr">
        <is>
          <t>Negative</t>
        </is>
      </c>
      <c r="F146" s="13" t="inlineStr">
        <is>
          <t>P1</t>
        </is>
      </c>
      <c r="G146" s="13" t="inlineStr">
        <is>
          <t>Flitt test card declined</t>
        </is>
      </c>
      <c r="H146" s="13" t="inlineStr"/>
      <c r="I146" s="13" t="inlineStr">
        <is>
          <t>1. Pay with declined card</t>
        </is>
      </c>
      <c r="J146" s="13" t="inlineStr">
        <is>
          <t>"Payment failed" with Try Again; order not paid</t>
        </is>
      </c>
      <c r="K146" s="13" t="inlineStr"/>
      <c r="L146" s="14" t="inlineStr">
        <is>
          <t>Not Run</t>
        </is>
      </c>
      <c r="M146" s="14" t="inlineStr"/>
      <c r="N146" s="14" t="inlineStr"/>
      <c r="O146" s="14" t="inlineStr"/>
      <c r="P146" s="14" t="inlineStr"/>
      <c r="Q146" s="14" t="inlineStr"/>
    </row>
    <row r="147">
      <c r="A147" s="13" t="inlineStr">
        <is>
          <t>TC-WEB-146</t>
        </is>
      </c>
      <c r="B147" s="13" t="inlineStr">
        <is>
          <t>Payment</t>
        </is>
      </c>
      <c r="C147" s="13" t="inlineStr">
        <is>
          <t>Result</t>
        </is>
      </c>
      <c r="D147" s="13" t="inlineStr">
        <is>
          <t>Thank-you page does not claim success without a confirmed payment</t>
        </is>
      </c>
      <c r="E147" s="13" t="inlineStr">
        <is>
          <t>Negative</t>
        </is>
      </c>
      <c r="F147" s="13" t="inlineStr">
        <is>
          <t>P1</t>
        </is>
      </c>
      <c r="G147" s="13" t="inlineStr">
        <is>
          <t>Guest, clean browser (no localStorage)</t>
        </is>
      </c>
      <c r="H147" s="13" t="inlineStr">
        <is>
          <t>/checkout/thank-you and /checkout/thank-you?payment_status=processing</t>
        </is>
      </c>
      <c r="I147" s="13" t="inlineStr">
        <is>
          <t>1. Open each URL</t>
        </is>
      </c>
      <c r="J147" s="13" t="inlineStr">
        <is>
          <t>No "Payment confirmed!" message unless payment really approved</t>
        </is>
      </c>
      <c r="K147" s="13" t="inlineStr">
        <is>
          <t>D-04</t>
        </is>
      </c>
      <c r="L147" s="14" t="inlineStr">
        <is>
          <t>Not Run</t>
        </is>
      </c>
      <c r="M147" s="14" t="inlineStr"/>
      <c r="N147" s="14" t="inlineStr"/>
      <c r="O147" s="14" t="inlineStr"/>
      <c r="P147" s="14" t="inlineStr"/>
      <c r="Q147" s="14" t="inlineStr"/>
    </row>
    <row r="148">
      <c r="A148" s="13" t="inlineStr">
        <is>
          <t>TC-WEB-147</t>
        </is>
      </c>
      <c r="B148" s="13" t="inlineStr">
        <is>
          <t>Payment</t>
        </is>
      </c>
      <c r="C148" s="13" t="inlineStr">
        <is>
          <t>Result</t>
        </is>
      </c>
      <c r="D148" s="13" t="inlineStr">
        <is>
          <t>Order confirmation email sent</t>
        </is>
      </c>
      <c r="E148" s="13" t="inlineStr">
        <is>
          <t>Integration</t>
        </is>
      </c>
      <c r="F148" s="13" t="inlineStr">
        <is>
          <t>P2</t>
        </is>
      </c>
      <c r="G148" s="13" t="inlineStr">
        <is>
          <t>Email service configured</t>
        </is>
      </c>
      <c r="H148" s="13" t="inlineStr"/>
      <c r="I148" s="13" t="inlineStr">
        <is>
          <t>1. Complete a paid order</t>
        </is>
      </c>
      <c r="J148" s="13" t="inlineStr">
        <is>
          <t>Confirmation email received with order number and items</t>
        </is>
      </c>
      <c r="K148" s="13" t="inlineStr"/>
      <c r="L148" s="14" t="inlineStr">
        <is>
          <t>Not Run</t>
        </is>
      </c>
      <c r="M148" s="14" t="inlineStr"/>
      <c r="N148" s="14" t="inlineStr"/>
      <c r="O148" s="14" t="inlineStr"/>
      <c r="P148" s="14" t="inlineStr"/>
      <c r="Q148" s="14" t="inlineStr"/>
    </row>
    <row r="149">
      <c r="A149" s="13" t="inlineStr">
        <is>
          <t>TC-WEB-148</t>
        </is>
      </c>
      <c r="B149" s="13" t="inlineStr">
        <is>
          <t>Payment</t>
        </is>
      </c>
      <c r="C149" s="13" t="inlineStr">
        <is>
          <t>Security</t>
        </is>
      </c>
      <c r="D149" s="13" t="inlineStr">
        <is>
          <t>Customer cannot pay or view another customer's order</t>
        </is>
      </c>
      <c r="E149" s="13" t="inlineStr">
        <is>
          <t>Security</t>
        </is>
      </c>
      <c r="F149" s="13" t="inlineStr">
        <is>
          <t>P1</t>
        </is>
      </c>
      <c r="G149" s="13" t="inlineStr">
        <is>
          <t>Two accounts</t>
        </is>
      </c>
      <c r="H149" s="13" t="inlineStr">
        <is>
          <t>Order id of account A</t>
        </is>
      </c>
      <c r="I149" s="13" t="inlineStr">
        <is>
          <t>1. As B, open /checkout/thank-you?order=&lt;A's id&gt; and click Pay Now</t>
        </is>
      </c>
      <c r="J149" s="13" t="inlineStr">
        <is>
          <t>Refused (403/404); no payment link for A's order</t>
        </is>
      </c>
      <c r="K149" s="13" t="inlineStr"/>
      <c r="L149" s="14" t="inlineStr">
        <is>
          <t>Not Run</t>
        </is>
      </c>
      <c r="M149" s="14" t="inlineStr"/>
      <c r="N149" s="14" t="inlineStr"/>
      <c r="O149" s="14" t="inlineStr"/>
      <c r="P149" s="14" t="inlineStr"/>
      <c r="Q149" s="14" t="inlineStr"/>
    </row>
    <row r="150">
      <c r="A150" s="13" t="inlineStr">
        <is>
          <t>TC-WEB-149</t>
        </is>
      </c>
      <c r="B150" s="13" t="inlineStr">
        <is>
          <t>Payment</t>
        </is>
      </c>
      <c r="C150" s="13" t="inlineStr">
        <is>
          <t>Webhook</t>
        </is>
      </c>
      <c r="D150" s="13" t="inlineStr">
        <is>
          <t>Payment webhook updates order status</t>
        </is>
      </c>
      <c r="E150" s="13" t="inlineStr">
        <is>
          <t>Integration</t>
        </is>
      </c>
      <c r="F150" s="13" t="inlineStr">
        <is>
          <t>P1</t>
        </is>
      </c>
      <c r="G150" s="13" t="inlineStr">
        <is>
          <t>Flitt sandbox</t>
        </is>
      </c>
      <c r="H150" s="13" t="inlineStr"/>
      <c r="I150" s="13" t="inlineStr">
        <is>
          <t>1. Complete payment
2. Check order status in admin</t>
        </is>
      </c>
      <c r="J150" s="13" t="inlineStr">
        <is>
          <t>Status changes from PENDING to PAID automatically</t>
        </is>
      </c>
      <c r="K150" s="13" t="inlineStr"/>
      <c r="L150" s="14" t="inlineStr">
        <is>
          <t>Not Run</t>
        </is>
      </c>
      <c r="M150" s="14" t="inlineStr"/>
      <c r="N150" s="14" t="inlineStr"/>
      <c r="O150" s="14" t="inlineStr"/>
      <c r="P150" s="14" t="inlineStr"/>
      <c r="Q150" s="14" t="inlineStr"/>
    </row>
    <row r="151">
      <c r="A151" s="13" t="inlineStr">
        <is>
          <t>TC-WEB-150</t>
        </is>
      </c>
      <c r="B151" s="13" t="inlineStr">
        <is>
          <t>My account</t>
        </is>
      </c>
      <c r="C151" s="13" t="inlineStr">
        <is>
          <t>Profile</t>
        </is>
      </c>
      <c r="D151" s="13" t="inlineStr">
        <is>
          <t>Profile shows current details; email read-only</t>
        </is>
      </c>
      <c r="E151" s="13" t="inlineStr">
        <is>
          <t>Functional</t>
        </is>
      </c>
      <c r="F151" s="13" t="inlineStr">
        <is>
          <t>P2</t>
        </is>
      </c>
      <c r="G151" s="13" t="inlineStr">
        <is>
          <t>Signed in as a customer</t>
        </is>
      </c>
      <c r="H151" s="13" t="inlineStr"/>
      <c r="I151" s="13" t="inlineStr">
        <is>
          <t>1. Open /account</t>
        </is>
      </c>
      <c r="J151" s="13" t="inlineStr">
        <is>
          <t>First/last name and phone filled; email disabled</t>
        </is>
      </c>
      <c r="K151" s="13" t="inlineStr"/>
      <c r="L151" s="14" t="inlineStr">
        <is>
          <t>Not Run</t>
        </is>
      </c>
      <c r="M151" s="14" t="inlineStr"/>
      <c r="N151" s="14" t="inlineStr"/>
      <c r="O151" s="14" t="inlineStr"/>
      <c r="P151" s="14" t="inlineStr"/>
      <c r="Q151" s="14" t="inlineStr"/>
    </row>
    <row r="152">
      <c r="A152" s="13" t="inlineStr">
        <is>
          <t>TC-WEB-151</t>
        </is>
      </c>
      <c r="B152" s="13" t="inlineStr">
        <is>
          <t>My account</t>
        </is>
      </c>
      <c r="C152" s="13" t="inlineStr">
        <is>
          <t>Profile</t>
        </is>
      </c>
      <c r="D152" s="13" t="inlineStr">
        <is>
          <t>Update name and phone</t>
        </is>
      </c>
      <c r="E152" s="13" t="inlineStr">
        <is>
          <t>Functional</t>
        </is>
      </c>
      <c r="F152" s="13" t="inlineStr">
        <is>
          <t>P2</t>
        </is>
      </c>
      <c r="G152" s="13" t="inlineStr">
        <is>
          <t>Signed in as a customer</t>
        </is>
      </c>
      <c r="H152" s="13" t="inlineStr"/>
      <c r="I152" s="13" t="inlineStr">
        <is>
          <t>1. Change fields
2. Save Changes
3. Reload</t>
        </is>
      </c>
      <c r="J152" s="13" t="inlineStr">
        <is>
          <t>"Profile updated!" and values persist</t>
        </is>
      </c>
      <c r="K152" s="13" t="inlineStr"/>
      <c r="L152" s="14" t="inlineStr">
        <is>
          <t>Not Run</t>
        </is>
      </c>
      <c r="M152" s="14" t="inlineStr"/>
      <c r="N152" s="14" t="inlineStr"/>
      <c r="O152" s="14" t="inlineStr"/>
      <c r="P152" s="14" t="inlineStr"/>
      <c r="Q152" s="14" t="inlineStr"/>
    </row>
    <row r="153">
      <c r="A153" s="13" t="inlineStr">
        <is>
          <t>TC-WEB-152</t>
        </is>
      </c>
      <c r="B153" s="13" t="inlineStr">
        <is>
          <t>My account</t>
        </is>
      </c>
      <c r="C153" s="13" t="inlineStr">
        <is>
          <t>Profile</t>
        </is>
      </c>
      <c r="D153" s="13" t="inlineStr">
        <is>
          <t>Name fields required</t>
        </is>
      </c>
      <c r="E153" s="13" t="inlineStr">
        <is>
          <t>Negative</t>
        </is>
      </c>
      <c r="F153" s="13" t="inlineStr">
        <is>
          <t>P3</t>
        </is>
      </c>
      <c r="G153" s="13" t="inlineStr">
        <is>
          <t>Signed in as a customer</t>
        </is>
      </c>
      <c r="H153" s="13" t="inlineStr"/>
      <c r="I153" s="13" t="inlineStr">
        <is>
          <t>1. Clear first name
2. Save</t>
        </is>
      </c>
      <c r="J153" s="13" t="inlineStr">
        <is>
          <t>"First name is required"</t>
        </is>
      </c>
      <c r="K153" s="13" t="inlineStr"/>
      <c r="L153" s="14" t="inlineStr">
        <is>
          <t>Not Run</t>
        </is>
      </c>
      <c r="M153" s="14" t="inlineStr"/>
      <c r="N153" s="14" t="inlineStr"/>
      <c r="O153" s="14" t="inlineStr"/>
      <c r="P153" s="14" t="inlineStr"/>
      <c r="Q153" s="14" t="inlineStr"/>
    </row>
    <row r="154">
      <c r="A154" s="13" t="inlineStr">
        <is>
          <t>TC-WEB-153</t>
        </is>
      </c>
      <c r="B154" s="13" t="inlineStr">
        <is>
          <t>My account</t>
        </is>
      </c>
      <c r="C154" s="13" t="inlineStr">
        <is>
          <t>Links</t>
        </is>
      </c>
      <c r="D154" s="13" t="inlineStr">
        <is>
          <t>Quick links open orders, referrals, shop, subscriptions</t>
        </is>
      </c>
      <c r="E154" s="13" t="inlineStr">
        <is>
          <t>Functional</t>
        </is>
      </c>
      <c r="F154" s="13" t="inlineStr">
        <is>
          <t>P3</t>
        </is>
      </c>
      <c r="G154" s="13" t="inlineStr">
        <is>
          <t>Signed in as a customer</t>
        </is>
      </c>
      <c r="H154" s="13" t="inlineStr"/>
      <c r="I154" s="13" t="inlineStr">
        <is>
          <t>1. Click each</t>
        </is>
      </c>
      <c r="J154" s="13" t="inlineStr">
        <is>
          <t>Each page opens</t>
        </is>
      </c>
      <c r="K154" s="13" t="inlineStr"/>
      <c r="L154" s="14" t="inlineStr">
        <is>
          <t>Not Run</t>
        </is>
      </c>
      <c r="M154" s="14" t="inlineStr"/>
      <c r="N154" s="14" t="inlineStr"/>
      <c r="O154" s="14" t="inlineStr"/>
      <c r="P154" s="14" t="inlineStr"/>
      <c r="Q154" s="14" t="inlineStr"/>
    </row>
    <row r="155">
      <c r="A155" s="13" t="inlineStr">
        <is>
          <t>TC-WEB-154</t>
        </is>
      </c>
      <c r="B155" s="13" t="inlineStr">
        <is>
          <t>My account</t>
        </is>
      </c>
      <c r="C155" s="13" t="inlineStr">
        <is>
          <t>Dogs</t>
        </is>
      </c>
      <c r="D155" s="13" t="inlineStr">
        <is>
          <t>Customer can view and edit their dog profiles</t>
        </is>
      </c>
      <c r="E155" s="13" t="inlineStr">
        <is>
          <t>Functional</t>
        </is>
      </c>
      <c r="F155" s="13" t="inlineStr">
        <is>
          <t>P2</t>
        </is>
      </c>
      <c r="G155" s="13" t="inlineStr">
        <is>
          <t>Signed in as a customer with a dog</t>
        </is>
      </c>
      <c r="H155" s="13" t="inlineStr"/>
      <c r="I155" s="13" t="inlineStr">
        <is>
          <t>1. Look for dog profile management</t>
        </is>
      </c>
      <c r="J155" s="13" t="inlineStr">
        <is>
          <t>Dogs listed and editable</t>
        </is>
      </c>
      <c r="K155" s="13" t="inlineStr"/>
      <c r="L155" s="14" t="inlineStr">
        <is>
          <t>Not Run</t>
        </is>
      </c>
      <c r="M155" s="14" t="inlineStr"/>
      <c r="N155" s="14" t="inlineStr"/>
      <c r="O155" s="14" t="inlineStr"/>
      <c r="P155" s="14" t="inlineStr"/>
      <c r="Q155" s="14" t="inlineStr"/>
    </row>
    <row r="156">
      <c r="A156" s="13" t="inlineStr">
        <is>
          <t>TC-WEB-155</t>
        </is>
      </c>
      <c r="B156" s="13" t="inlineStr">
        <is>
          <t>My orders</t>
        </is>
      </c>
      <c r="C156" s="13" t="inlineStr">
        <is>
          <t>List</t>
        </is>
      </c>
      <c r="D156" s="13" t="inlineStr">
        <is>
          <t>Orders listed newest first with number, date, status, total, items</t>
        </is>
      </c>
      <c r="E156" s="13" t="inlineStr">
        <is>
          <t>Functional</t>
        </is>
      </c>
      <c r="F156" s="13" t="inlineStr">
        <is>
          <t>P1</t>
        </is>
      </c>
      <c r="G156" s="13" t="inlineStr">
        <is>
          <t>Signed in as a customer with orders</t>
        </is>
      </c>
      <c r="H156" s="13" t="inlineStr"/>
      <c r="I156" s="13" t="inlineStr">
        <is>
          <t>1. Open /account/orders</t>
        </is>
      </c>
      <c r="J156" s="13" t="inlineStr">
        <is>
          <t>Each order shows #XXXXXXXX, date, status, total and up to 3 items (+N more)</t>
        </is>
      </c>
      <c r="K156" s="13" t="inlineStr"/>
      <c r="L156" s="14" t="inlineStr">
        <is>
          <t>Not Run</t>
        </is>
      </c>
      <c r="M156" s="14" t="inlineStr"/>
      <c r="N156" s="14" t="inlineStr"/>
      <c r="O156" s="14" t="inlineStr"/>
      <c r="P156" s="14" t="inlineStr"/>
      <c r="Q156" s="14" t="inlineStr"/>
    </row>
    <row r="157">
      <c r="A157" s="13" t="inlineStr">
        <is>
          <t>TC-WEB-156</t>
        </is>
      </c>
      <c r="B157" s="13" t="inlineStr">
        <is>
          <t>My orders</t>
        </is>
      </c>
      <c r="C157" s="13" t="inlineStr">
        <is>
          <t>Empty</t>
        </is>
      </c>
      <c r="D157" s="13" t="inlineStr">
        <is>
          <t>No orders state</t>
        </is>
      </c>
      <c r="E157" s="13" t="inlineStr">
        <is>
          <t>UI</t>
        </is>
      </c>
      <c r="F157" s="13" t="inlineStr">
        <is>
          <t>P3</t>
        </is>
      </c>
      <c r="G157" s="13" t="inlineStr">
        <is>
          <t>New customer</t>
        </is>
      </c>
      <c r="H157" s="13" t="inlineStr"/>
      <c r="I157" s="13" t="inlineStr">
        <is>
          <t>1. Open /account/orders</t>
        </is>
      </c>
      <c r="J157" s="13" t="inlineStr">
        <is>
          <t>"No orders yet" with Start shopping link</t>
        </is>
      </c>
      <c r="K157" s="13" t="inlineStr"/>
      <c r="L157" s="14" t="inlineStr">
        <is>
          <t>Not Run</t>
        </is>
      </c>
      <c r="M157" s="14" t="inlineStr"/>
      <c r="N157" s="14" t="inlineStr"/>
      <c r="O157" s="14" t="inlineStr"/>
      <c r="P157" s="14" t="inlineStr"/>
      <c r="Q157" s="14" t="inlineStr"/>
    </row>
    <row r="158">
      <c r="A158" s="13" t="inlineStr">
        <is>
          <t>TC-WEB-157</t>
        </is>
      </c>
      <c r="B158" s="13" t="inlineStr">
        <is>
          <t>My orders</t>
        </is>
      </c>
      <c r="C158" s="13" t="inlineStr">
        <is>
          <t>Status</t>
        </is>
      </c>
      <c r="D158" s="13" t="inlineStr">
        <is>
          <t>Every order status has a readable, styled label</t>
        </is>
      </c>
      <c r="E158" s="13" t="inlineStr">
        <is>
          <t>UI</t>
        </is>
      </c>
      <c r="F158" s="13" t="inlineStr">
        <is>
          <t>P3</t>
        </is>
      </c>
      <c r="G158" s="13" t="inlineStr">
        <is>
          <t>Orders in PAID, PACKED, FAILED status</t>
        </is>
      </c>
      <c r="H158" s="13" t="inlineStr"/>
      <c r="I158" s="13" t="inlineStr">
        <is>
          <t>1. Open /account/orders</t>
        </is>
      </c>
      <c r="J158" s="13" t="inlineStr">
        <is>
          <t>Friendly labels and colours for all statuses (not raw enum text)</t>
        </is>
      </c>
      <c r="K158" s="13" t="inlineStr">
        <is>
          <t>D-21</t>
        </is>
      </c>
      <c r="L158" s="14" t="inlineStr">
        <is>
          <t>Not Run</t>
        </is>
      </c>
      <c r="M158" s="14" t="inlineStr"/>
      <c r="N158" s="14" t="inlineStr"/>
      <c r="O158" s="14" t="inlineStr"/>
      <c r="P158" s="14" t="inlineStr"/>
      <c r="Q158" s="14" t="inlineStr"/>
    </row>
    <row r="159">
      <c r="A159" s="13" t="inlineStr">
        <is>
          <t>TC-WEB-158</t>
        </is>
      </c>
      <c r="B159" s="13" t="inlineStr">
        <is>
          <t>My orders</t>
        </is>
      </c>
      <c r="C159" s="13" t="inlineStr">
        <is>
          <t>Pay</t>
        </is>
      </c>
      <c r="D159" s="13" t="inlineStr">
        <is>
          <t>Pending order can be paid from My Orders</t>
        </is>
      </c>
      <c r="E159" s="13" t="inlineStr">
        <is>
          <t>Functional</t>
        </is>
      </c>
      <c r="F159" s="13" t="inlineStr">
        <is>
          <t>P1</t>
        </is>
      </c>
      <c r="G159" s="13" t="inlineStr">
        <is>
          <t>Order in PENDING</t>
        </is>
      </c>
      <c r="H159" s="13" t="inlineStr"/>
      <c r="I159" s="13" t="inlineStr">
        <is>
          <t>1. Click Pay Now on the order</t>
        </is>
      </c>
      <c r="J159" s="13" t="inlineStr">
        <is>
          <t>Redirected to payment</t>
        </is>
      </c>
      <c r="K159" s="13" t="inlineStr"/>
      <c r="L159" s="14" t="inlineStr">
        <is>
          <t>Not Run</t>
        </is>
      </c>
      <c r="M159" s="14" t="inlineStr"/>
      <c r="N159" s="14" t="inlineStr"/>
      <c r="O159" s="14" t="inlineStr"/>
      <c r="P159" s="14" t="inlineStr"/>
      <c r="Q159" s="14" t="inlineStr"/>
    </row>
    <row r="160">
      <c r="A160" s="13" t="inlineStr">
        <is>
          <t>TC-WEB-159</t>
        </is>
      </c>
      <c r="B160" s="13" t="inlineStr">
        <is>
          <t>My orders</t>
        </is>
      </c>
      <c r="C160" s="13" t="inlineStr">
        <is>
          <t>Pay</t>
        </is>
      </c>
      <c r="D160" s="13" t="inlineStr">
        <is>
          <t>Failed order offers a retry</t>
        </is>
      </c>
      <c r="E160" s="13" t="inlineStr">
        <is>
          <t>Functional</t>
        </is>
      </c>
      <c r="F160" s="13" t="inlineStr">
        <is>
          <t>P2</t>
        </is>
      </c>
      <c r="G160" s="13" t="inlineStr">
        <is>
          <t>Order in FAILED</t>
        </is>
      </c>
      <c r="H160" s="13" t="inlineStr"/>
      <c r="I160" s="13" t="inlineStr">
        <is>
          <t>1. Open /account/orders</t>
        </is>
      </c>
      <c r="J160" s="13" t="inlineStr">
        <is>
          <t>Retry/Pay option available</t>
        </is>
      </c>
      <c r="K160" s="13" t="inlineStr">
        <is>
          <t>D-21</t>
        </is>
      </c>
      <c r="L160" s="14" t="inlineStr">
        <is>
          <t>Not Run</t>
        </is>
      </c>
      <c r="M160" s="14" t="inlineStr"/>
      <c r="N160" s="14" t="inlineStr"/>
      <c r="O160" s="14" t="inlineStr"/>
      <c r="P160" s="14" t="inlineStr"/>
      <c r="Q160" s="14" t="inlineStr"/>
    </row>
    <row r="161">
      <c r="A161" s="13" t="inlineStr">
        <is>
          <t>TC-WEB-160</t>
        </is>
      </c>
      <c r="B161" s="13" t="inlineStr">
        <is>
          <t>My orders</t>
        </is>
      </c>
      <c r="C161" s="13" t="inlineStr">
        <is>
          <t>Layout</t>
        </is>
      </c>
      <c r="D161" s="13" t="inlineStr">
        <is>
          <t>Page shows a single header</t>
        </is>
      </c>
      <c r="E161" s="13" t="inlineStr">
        <is>
          <t>UI</t>
        </is>
      </c>
      <c r="F161" s="13" t="inlineStr">
        <is>
          <t>P4</t>
        </is>
      </c>
      <c r="G161" s="13" t="inlineStr">
        <is>
          <t>Signed in as a customer</t>
        </is>
      </c>
      <c r="H161" s="13" t="inlineStr"/>
      <c r="I161" s="13" t="inlineStr">
        <is>
          <t>1. Open /account/orders and /account/referrals</t>
        </is>
      </c>
      <c r="J161" s="13" t="inlineStr">
        <is>
          <t>Only the site header, not a second page header below it</t>
        </is>
      </c>
      <c r="K161" s="13" t="inlineStr">
        <is>
          <t>D-26</t>
        </is>
      </c>
      <c r="L161" s="14" t="inlineStr">
        <is>
          <t>Not Run</t>
        </is>
      </c>
      <c r="M161" s="14" t="inlineStr"/>
      <c r="N161" s="14" t="inlineStr"/>
      <c r="O161" s="14" t="inlineStr"/>
      <c r="P161" s="14" t="inlineStr"/>
      <c r="Q161" s="14" t="inlineStr"/>
    </row>
    <row r="162">
      <c r="A162" s="13" t="inlineStr">
        <is>
          <t>TC-WEB-161</t>
        </is>
      </c>
      <c r="B162" s="13" t="inlineStr">
        <is>
          <t>Subscriptions</t>
        </is>
      </c>
      <c r="C162" s="13" t="inlineStr">
        <is>
          <t>List</t>
        </is>
      </c>
      <c r="D162" s="13" t="inlineStr">
        <is>
          <t>Subscriptions show plan, status, boxes delivered, next renewal, dog, price</t>
        </is>
      </c>
      <c r="E162" s="13" t="inlineStr">
        <is>
          <t>Functional</t>
        </is>
      </c>
      <c r="F162" s="13" t="inlineStr">
        <is>
          <t>P1</t>
        </is>
      </c>
      <c r="G162" s="13" t="inlineStr">
        <is>
          <t>Signed in as a customer with subscription</t>
        </is>
      </c>
      <c r="H162" s="13" t="inlineStr"/>
      <c r="I162" s="13" t="inlineStr">
        <is>
          <t>1. Open /account/subscriptions</t>
        </is>
      </c>
      <c r="J162" s="13" t="inlineStr">
        <is>
          <t>All fields correct and match admin</t>
        </is>
      </c>
      <c r="K162" s="13" t="inlineStr"/>
      <c r="L162" s="14" t="inlineStr">
        <is>
          <t>Not Run</t>
        </is>
      </c>
      <c r="M162" s="14" t="inlineStr"/>
      <c r="N162" s="14" t="inlineStr"/>
      <c r="O162" s="14" t="inlineStr"/>
      <c r="P162" s="14" t="inlineStr"/>
      <c r="Q162" s="14" t="inlineStr"/>
    </row>
    <row r="163">
      <c r="A163" s="13" t="inlineStr">
        <is>
          <t>TC-WEB-162</t>
        </is>
      </c>
      <c r="B163" s="13" t="inlineStr">
        <is>
          <t>Subscriptions</t>
        </is>
      </c>
      <c r="C163" s="13" t="inlineStr">
        <is>
          <t>Empty</t>
        </is>
      </c>
      <c r="D163" s="13" t="inlineStr">
        <is>
          <t>No subscriptions state</t>
        </is>
      </c>
      <c r="E163" s="13" t="inlineStr">
        <is>
          <t>UI</t>
        </is>
      </c>
      <c r="F163" s="13" t="inlineStr">
        <is>
          <t>P3</t>
        </is>
      </c>
      <c r="G163" s="13" t="inlineStr">
        <is>
          <t>New customer</t>
        </is>
      </c>
      <c r="H163" s="13" t="inlineStr"/>
      <c r="I163" s="13" t="inlineStr">
        <is>
          <t>1. Open page</t>
        </is>
      </c>
      <c r="J163" s="13" t="inlineStr">
        <is>
          <t>"No subscriptions yet" with View Plans link</t>
        </is>
      </c>
      <c r="K163" s="13" t="inlineStr"/>
      <c r="L163" s="14" t="inlineStr">
        <is>
          <t>Not Run</t>
        </is>
      </c>
      <c r="M163" s="14" t="inlineStr"/>
      <c r="N163" s="14" t="inlineStr"/>
      <c r="O163" s="14" t="inlineStr"/>
      <c r="P163" s="14" t="inlineStr"/>
      <c r="Q163" s="14" t="inlineStr"/>
    </row>
    <row r="164">
      <c r="A164" s="13" t="inlineStr">
        <is>
          <t>TC-WEB-163</t>
        </is>
      </c>
      <c r="B164" s="13" t="inlineStr">
        <is>
          <t>Subscriptions</t>
        </is>
      </c>
      <c r="C164" s="13" t="inlineStr">
        <is>
          <t>Auto-renewal</t>
        </is>
      </c>
      <c r="D164" s="13" t="inlineStr">
        <is>
          <t>Turn auto-renewal off and on</t>
        </is>
      </c>
      <c r="E164" s="13" t="inlineStr">
        <is>
          <t>Functional</t>
        </is>
      </c>
      <c r="F164" s="13" t="inlineStr">
        <is>
          <t>P1</t>
        </is>
      </c>
      <c r="G164" s="13" t="inlineStr">
        <is>
          <t>ACTIVE subscription</t>
        </is>
      </c>
      <c r="H164" s="13" t="inlineStr"/>
      <c r="I164" s="13" t="inlineStr">
        <is>
          <t>1. Toggle off
2. Reload
3. Toggle on</t>
        </is>
      </c>
      <c r="J164" s="13" t="inlineStr">
        <is>
          <t>Toast confirms each change; state persists after reload</t>
        </is>
      </c>
      <c r="K164" s="13" t="inlineStr"/>
      <c r="L164" s="14" t="inlineStr">
        <is>
          <t>Not Run</t>
        </is>
      </c>
      <c r="M164" s="14" t="inlineStr"/>
      <c r="N164" s="14" t="inlineStr"/>
      <c r="O164" s="14" t="inlineStr"/>
      <c r="P164" s="14" t="inlineStr"/>
      <c r="Q164" s="14" t="inlineStr"/>
    </row>
    <row r="165">
      <c r="A165" s="13" t="inlineStr">
        <is>
          <t>TC-WEB-164</t>
        </is>
      </c>
      <c r="B165" s="13" t="inlineStr">
        <is>
          <t>Subscriptions</t>
        </is>
      </c>
      <c r="C165" s="13" t="inlineStr">
        <is>
          <t>Cancel</t>
        </is>
      </c>
      <c r="D165" s="13" t="inlineStr">
        <is>
          <t>Cancel subscription with confirmation</t>
        </is>
      </c>
      <c r="E165" s="13" t="inlineStr">
        <is>
          <t>Functional</t>
        </is>
      </c>
      <c r="F165" s="13" t="inlineStr">
        <is>
          <t>P1</t>
        </is>
      </c>
      <c r="G165" s="13" t="inlineStr">
        <is>
          <t>ACTIVE subscription</t>
        </is>
      </c>
      <c r="H165" s="13" t="inlineStr"/>
      <c r="I165" s="13" t="inlineStr">
        <is>
          <t>1. Cancel subscription
2. Yes, cancel</t>
        </is>
      </c>
      <c r="J165" s="13" t="inlineStr">
        <is>
          <t>Status Cancelled; auto-renewal off; toast shown</t>
        </is>
      </c>
      <c r="K165" s="13" t="inlineStr"/>
      <c r="L165" s="14" t="inlineStr">
        <is>
          <t>Not Run</t>
        </is>
      </c>
      <c r="M165" s="14" t="inlineStr"/>
      <c r="N165" s="14" t="inlineStr"/>
      <c r="O165" s="14" t="inlineStr"/>
      <c r="P165" s="14" t="inlineStr"/>
      <c r="Q165" s="14" t="inlineStr"/>
    </row>
    <row r="166">
      <c r="A166" s="13" t="inlineStr">
        <is>
          <t>TC-WEB-165</t>
        </is>
      </c>
      <c r="B166" s="13" t="inlineStr">
        <is>
          <t>Subscriptions</t>
        </is>
      </c>
      <c r="C166" s="13" t="inlineStr">
        <is>
          <t>Cancel</t>
        </is>
      </c>
      <c r="D166" s="13" t="inlineStr">
        <is>
          <t>"Keep" closes the confirmation without cancelling</t>
        </is>
      </c>
      <c r="E166" s="13" t="inlineStr">
        <is>
          <t>Functional</t>
        </is>
      </c>
      <c r="F166" s="13" t="inlineStr">
        <is>
          <t>P3</t>
        </is>
      </c>
      <c r="G166" s="13" t="inlineStr">
        <is>
          <t>ACTIVE subscription</t>
        </is>
      </c>
      <c r="H166" s="13" t="inlineStr"/>
      <c r="I166" s="13" t="inlineStr">
        <is>
          <t>1. Cancel subscription
2. Keep</t>
        </is>
      </c>
      <c r="J166" s="13" t="inlineStr">
        <is>
          <t>Nothing changes</t>
        </is>
      </c>
      <c r="K166" s="13" t="inlineStr"/>
      <c r="L166" s="14" t="inlineStr">
        <is>
          <t>Not Run</t>
        </is>
      </c>
      <c r="M166" s="14" t="inlineStr"/>
      <c r="N166" s="14" t="inlineStr"/>
      <c r="O166" s="14" t="inlineStr"/>
      <c r="P166" s="14" t="inlineStr"/>
      <c r="Q166" s="14" t="inlineStr"/>
    </row>
    <row r="167">
      <c r="A167" s="13" t="inlineStr">
        <is>
          <t>TC-WEB-166</t>
        </is>
      </c>
      <c r="B167" s="13" t="inlineStr">
        <is>
          <t>Subscriptions</t>
        </is>
      </c>
      <c r="C167" s="13" t="inlineStr">
        <is>
          <t>Pause</t>
        </is>
      </c>
      <c r="D167" s="13" t="inlineStr">
        <is>
          <t>Paused subscription can be resumed; pending can be cancelled</t>
        </is>
      </c>
      <c r="E167" s="13" t="inlineStr">
        <is>
          <t>Functional</t>
        </is>
      </c>
      <c r="F167" s="13" t="inlineStr">
        <is>
          <t>P2</t>
        </is>
      </c>
      <c r="G167" s="13" t="inlineStr">
        <is>
          <t>PAUSED and PENDING subscriptions</t>
        </is>
      </c>
      <c r="H167" s="13" t="inlineStr"/>
      <c r="I167" s="13" t="inlineStr">
        <is>
          <t>1. Open page</t>
        </is>
      </c>
      <c r="J167" s="13" t="inlineStr">
        <is>
          <t>Resume action for PAUSED; cancel action for PENDING</t>
        </is>
      </c>
      <c r="K167" s="13" t="inlineStr">
        <is>
          <t>D-22</t>
        </is>
      </c>
      <c r="L167" s="14" t="inlineStr">
        <is>
          <t>Not Run</t>
        </is>
      </c>
      <c r="M167" s="14" t="inlineStr"/>
      <c r="N167" s="14" t="inlineStr"/>
      <c r="O167" s="14" t="inlineStr"/>
      <c r="P167" s="14" t="inlineStr"/>
      <c r="Q167" s="14" t="inlineStr"/>
    </row>
    <row r="168">
      <c r="A168" s="13" t="inlineStr">
        <is>
          <t>TC-WEB-167</t>
        </is>
      </c>
      <c r="B168" s="13" t="inlineStr">
        <is>
          <t>Subscriptions</t>
        </is>
      </c>
      <c r="C168" s="13" t="inlineStr">
        <is>
          <t>Gift</t>
        </is>
      </c>
      <c r="D168" s="13" t="inlineStr">
        <is>
          <t>Gifted subscription shows correctly for recipient</t>
        </is>
      </c>
      <c r="E168" s="13" t="inlineStr">
        <is>
          <t>Functional</t>
        </is>
      </c>
      <c r="F168" s="13" t="inlineStr">
        <is>
          <t>P2</t>
        </is>
      </c>
      <c r="G168" s="13" t="inlineStr">
        <is>
          <t>Claimed gift</t>
        </is>
      </c>
      <c r="H168" s="13" t="inlineStr"/>
      <c r="I168" s="13" t="inlineStr">
        <is>
          <t>1. Recipient opens page</t>
        </is>
      </c>
      <c r="J168" s="13" t="inlineStr">
        <is>
          <t>Subscription listed with their dog; no auto-renew</t>
        </is>
      </c>
      <c r="K168" s="13" t="inlineStr"/>
      <c r="L168" s="14" t="inlineStr">
        <is>
          <t>Not Run</t>
        </is>
      </c>
      <c r="M168" s="14" t="inlineStr"/>
      <c r="N168" s="14" t="inlineStr"/>
      <c r="O168" s="14" t="inlineStr"/>
      <c r="P168" s="14" t="inlineStr"/>
      <c r="Q168" s="14" t="inlineStr"/>
    </row>
    <row r="169">
      <c r="A169" s="13" t="inlineStr">
        <is>
          <t>TC-WEB-168</t>
        </is>
      </c>
      <c r="B169" s="13" t="inlineStr">
        <is>
          <t>Referrals</t>
        </is>
      </c>
      <c r="C169" s="13" t="inlineStr">
        <is>
          <t>Link</t>
        </is>
      </c>
      <c r="D169" s="13" t="inlineStr">
        <is>
          <t>Referral link shown and copy works</t>
        </is>
      </c>
      <c r="E169" s="13" t="inlineStr">
        <is>
          <t>Functional</t>
        </is>
      </c>
      <c r="F169" s="13" t="inlineStr">
        <is>
          <t>P2</t>
        </is>
      </c>
      <c r="G169" s="13" t="inlineStr">
        <is>
          <t>Signed in as a customer</t>
        </is>
      </c>
      <c r="H169" s="13" t="inlineStr"/>
      <c r="I169" s="13" t="inlineStr">
        <is>
          <t>1. Open /account/referrals
2. Click Copy Link
3. Paste somewhere</t>
        </is>
      </c>
      <c r="J169" s="13" t="inlineStr">
        <is>
          <t>"✓ Copied!" and clipboard holds https://…/register?ref=CODE</t>
        </is>
      </c>
      <c r="K169" s="13" t="inlineStr"/>
      <c r="L169" s="14" t="inlineStr">
        <is>
          <t>Not Run</t>
        </is>
      </c>
      <c r="M169" s="14" t="inlineStr"/>
      <c r="N169" s="14" t="inlineStr"/>
      <c r="O169" s="14" t="inlineStr"/>
      <c r="P169" s="14" t="inlineStr"/>
      <c r="Q169" s="14" t="inlineStr"/>
    </row>
    <row r="170">
      <c r="A170" s="13" t="inlineStr">
        <is>
          <t>TC-WEB-169</t>
        </is>
      </c>
      <c r="B170" s="13" t="inlineStr">
        <is>
          <t>Referrals</t>
        </is>
      </c>
      <c r="C170" s="13" t="inlineStr">
        <is>
          <t>Stats</t>
        </is>
      </c>
      <c r="D170" s="13" t="inlineStr">
        <is>
          <t>Referral stats and history update</t>
        </is>
      </c>
      <c r="E170" s="13" t="inlineStr">
        <is>
          <t>Integration</t>
        </is>
      </c>
      <c r="F170" s="13" t="inlineStr">
        <is>
          <t>P2</t>
        </is>
      </c>
      <c r="G170" s="13" t="inlineStr">
        <is>
          <t>Friend registers via link and orders</t>
        </is>
      </c>
      <c r="H170" s="13" t="inlineStr"/>
      <c r="I170" s="13" t="inlineStr">
        <is>
          <t>1. Friend registers
2. Friend pays first order
3. Check referrer page</t>
        </is>
      </c>
      <c r="J170" s="13" t="inlineStr">
        <is>
          <t>Counts update; status moves Registered → First order → Reward granted</t>
        </is>
      </c>
      <c r="K170" s="13" t="inlineStr"/>
      <c r="L170" s="14" t="inlineStr">
        <is>
          <t>Not Run</t>
        </is>
      </c>
      <c r="M170" s="14" t="inlineStr"/>
      <c r="N170" s="14" t="inlineStr"/>
      <c r="O170" s="14" t="inlineStr"/>
      <c r="P170" s="14" t="inlineStr"/>
      <c r="Q170" s="14" t="inlineStr"/>
    </row>
    <row r="171">
      <c r="A171" s="13" t="inlineStr">
        <is>
          <t>TC-WEB-170</t>
        </is>
      </c>
      <c r="B171" s="13" t="inlineStr">
        <is>
          <t>Referrals</t>
        </is>
      </c>
      <c r="C171" s="13" t="inlineStr">
        <is>
          <t>Reward</t>
        </is>
      </c>
      <c r="D171" s="13" t="inlineStr">
        <is>
          <t>Referrer receives ₾10 coupon after friend's first paid order</t>
        </is>
      </c>
      <c r="E171" s="13" t="inlineStr">
        <is>
          <t>Integration</t>
        </is>
      </c>
      <c r="F171" s="13" t="inlineStr">
        <is>
          <t>P2</t>
        </is>
      </c>
      <c r="G171" s="13" t="inlineStr">
        <is>
          <t>As above</t>
        </is>
      </c>
      <c r="H171" s="13" t="inlineStr"/>
      <c r="I171" s="13" t="inlineStr">
        <is>
          <t>1. Check referrer coupons/email</t>
        </is>
      </c>
      <c r="J171" s="13" t="inlineStr">
        <is>
          <t>₾10 coupon issued once</t>
        </is>
      </c>
      <c r="K171" s="13" t="inlineStr"/>
      <c r="L171" s="14" t="inlineStr">
        <is>
          <t>Not Run</t>
        </is>
      </c>
      <c r="M171" s="14" t="inlineStr"/>
      <c r="N171" s="14" t="inlineStr"/>
      <c r="O171" s="14" t="inlineStr"/>
      <c r="P171" s="14" t="inlineStr"/>
      <c r="Q171" s="14" t="inlineStr"/>
    </row>
    <row r="172">
      <c r="A172" s="13" t="inlineStr">
        <is>
          <t>TC-WEB-171</t>
        </is>
      </c>
      <c r="B172" s="13" t="inlineStr">
        <is>
          <t>Referrals</t>
        </is>
      </c>
      <c r="C172" s="13" t="inlineStr">
        <is>
          <t>Abuse</t>
        </is>
      </c>
      <c r="D172" s="13" t="inlineStr">
        <is>
          <t>Self-referral is blocked</t>
        </is>
      </c>
      <c r="E172" s="13" t="inlineStr">
        <is>
          <t>Security</t>
        </is>
      </c>
      <c r="F172" s="13" t="inlineStr">
        <is>
          <t>P2</t>
        </is>
      </c>
      <c r="G172" s="13" t="inlineStr">
        <is>
          <t>Signed in as a customer</t>
        </is>
      </c>
      <c r="H172" s="13" t="inlineStr">
        <is>
          <t>Own referral code</t>
        </is>
      </c>
      <c r="I172" s="13" t="inlineStr">
        <is>
          <t>1. Register a second account with own code</t>
        </is>
      </c>
      <c r="J172" s="13" t="inlineStr">
        <is>
          <t>No reward for self-referral</t>
        </is>
      </c>
      <c r="K172" s="13" t="inlineStr"/>
      <c r="L172" s="14" t="inlineStr">
        <is>
          <t>Not Run</t>
        </is>
      </c>
      <c r="M172" s="14" t="inlineStr"/>
      <c r="N172" s="14" t="inlineStr"/>
      <c r="O172" s="14" t="inlineStr"/>
      <c r="P172" s="14" t="inlineStr"/>
      <c r="Q172" s="14" t="inlineStr"/>
    </row>
    <row r="173">
      <c r="A173" s="13" t="inlineStr">
        <is>
          <t>TC-WEB-172</t>
        </is>
      </c>
      <c r="B173" s="13" t="inlineStr">
        <is>
          <t>Gift claim</t>
        </is>
      </c>
      <c r="C173" s="13" t="inlineStr">
        <is>
          <t>Preview</t>
        </is>
      </c>
      <c r="D173" s="13" t="inlineStr">
        <is>
          <t>Valid gift link shows buyer, plan and message</t>
        </is>
      </c>
      <c r="E173" s="13" t="inlineStr">
        <is>
          <t>Functional</t>
        </is>
      </c>
      <c r="F173" s="13" t="inlineStr">
        <is>
          <t>P1</t>
        </is>
      </c>
      <c r="G173" s="13" t="inlineStr">
        <is>
          <t>Paid gift; claim token</t>
        </is>
      </c>
      <c r="H173" s="13" t="inlineStr">
        <is>
          <t>/gift/&lt;token&gt;</t>
        </is>
      </c>
      <c r="I173" s="13" t="inlineStr">
        <is>
          <t>1. Open link</t>
        </is>
      </c>
      <c r="J173" s="13" t="inlineStr">
        <is>
          <t>Shows recipient name, buyer, plan, boxes/duration, message</t>
        </is>
      </c>
      <c r="K173" s="13" t="inlineStr"/>
      <c r="L173" s="14" t="inlineStr">
        <is>
          <t>Not Run</t>
        </is>
      </c>
      <c r="M173" s="14" t="inlineStr"/>
      <c r="N173" s="14" t="inlineStr"/>
      <c r="O173" s="14" t="inlineStr"/>
      <c r="P173" s="14" t="inlineStr"/>
      <c r="Q173" s="14" t="inlineStr"/>
    </row>
    <row r="174">
      <c r="A174" s="13" t="inlineStr">
        <is>
          <t>TC-WEB-173</t>
        </is>
      </c>
      <c r="B174" s="13" t="inlineStr">
        <is>
          <t>Gift claim</t>
        </is>
      </c>
      <c r="C174" s="13" t="inlineStr">
        <is>
          <t>Preview</t>
        </is>
      </c>
      <c r="D174" s="13" t="inlineStr">
        <is>
          <t>Invalid gift link shows friendly error</t>
        </is>
      </c>
      <c r="E174" s="13" t="inlineStr">
        <is>
          <t>Negative</t>
        </is>
      </c>
      <c r="F174" s="13" t="inlineStr">
        <is>
          <t>P2</t>
        </is>
      </c>
      <c r="G174" s="13" t="inlineStr">
        <is>
          <t>Guest, clean browser (no localStorage)</t>
        </is>
      </c>
      <c r="H174" s="13" t="inlineStr">
        <is>
          <t>/gift/invalid</t>
        </is>
      </c>
      <c r="I174" s="13" t="inlineStr">
        <is>
          <t>1. Open</t>
        </is>
      </c>
      <c r="J174" s="13" t="inlineStr">
        <is>
          <t>"This gift link isn't valid" with Go to Pupbox</t>
        </is>
      </c>
      <c r="K174" s="13" t="inlineStr"/>
      <c r="L174" s="14" t="inlineStr">
        <is>
          <t>Not Run</t>
        </is>
      </c>
      <c r="M174" s="14" t="inlineStr"/>
      <c r="N174" s="14" t="inlineStr"/>
      <c r="O174" s="14" t="inlineStr"/>
      <c r="P174" s="14" t="inlineStr"/>
      <c r="Q174" s="14" t="inlineStr"/>
    </row>
    <row r="175">
      <c r="A175" s="13" t="inlineStr">
        <is>
          <t>TC-WEB-174</t>
        </is>
      </c>
      <c r="B175" s="13" t="inlineStr">
        <is>
          <t>Gift claim</t>
        </is>
      </c>
      <c r="C175" s="13" t="inlineStr">
        <is>
          <t>Claim</t>
        </is>
      </c>
      <c r="D175" s="13" t="inlineStr">
        <is>
          <t>New recipient creates account, adds dog and address, claims</t>
        </is>
      </c>
      <c r="E175" s="13" t="inlineStr">
        <is>
          <t>Functional</t>
        </is>
      </c>
      <c r="F175" s="13" t="inlineStr">
        <is>
          <t>P1</t>
        </is>
      </c>
      <c r="G175" s="13" t="inlineStr">
        <is>
          <t>Valid unclaimed gift; signed out</t>
        </is>
      </c>
      <c r="H175" s="13" t="inlineStr"/>
      <c r="I175" s="13" t="inlineStr">
        <is>
          <t>1. Create account
2. Fill dog
3. Fill address
4. Claim my gift</t>
        </is>
      </c>
      <c r="J175" s="13" t="inlineStr">
        <is>
          <t>"You're all set!"; subscription active with dog and address</t>
        </is>
      </c>
      <c r="K175" s="13" t="inlineStr"/>
      <c r="L175" s="14" t="inlineStr">
        <is>
          <t>Not Run</t>
        </is>
      </c>
      <c r="M175" s="14" t="inlineStr"/>
      <c r="N175" s="14" t="inlineStr"/>
      <c r="O175" s="14" t="inlineStr"/>
      <c r="P175" s="14" t="inlineStr"/>
      <c r="Q175" s="14" t="inlineStr"/>
    </row>
    <row r="176">
      <c r="A176" s="13" t="inlineStr">
        <is>
          <t>TC-WEB-175</t>
        </is>
      </c>
      <c r="B176" s="13" t="inlineStr">
        <is>
          <t>Gift claim</t>
        </is>
      </c>
      <c r="C176" s="13" t="inlineStr">
        <is>
          <t>Claim</t>
        </is>
      </c>
      <c r="D176" s="13" t="inlineStr">
        <is>
          <t>Existing customer signs in and claims</t>
        </is>
      </c>
      <c r="E176" s="13" t="inlineStr">
        <is>
          <t>Functional</t>
        </is>
      </c>
      <c r="F176" s="13" t="inlineStr">
        <is>
          <t>P2</t>
        </is>
      </c>
      <c r="G176" s="13" t="inlineStr">
        <is>
          <t>Valid unclaimed gift</t>
        </is>
      </c>
      <c r="H176" s="13" t="inlineStr"/>
      <c r="I176" s="13" t="inlineStr">
        <is>
          <t>1. I already have one
2. Sign in fields
3. Claim</t>
        </is>
      </c>
      <c r="J176" s="13" t="inlineStr">
        <is>
          <t>Claimed into existing account</t>
        </is>
      </c>
      <c r="K176" s="13" t="inlineStr"/>
      <c r="L176" s="14" t="inlineStr">
        <is>
          <t>Not Run</t>
        </is>
      </c>
      <c r="M176" s="14" t="inlineStr"/>
      <c r="N176" s="14" t="inlineStr"/>
      <c r="O176" s="14" t="inlineStr"/>
      <c r="P176" s="14" t="inlineStr"/>
      <c r="Q176" s="14" t="inlineStr"/>
    </row>
    <row r="177">
      <c r="A177" s="13" t="inlineStr">
        <is>
          <t>TC-WEB-176</t>
        </is>
      </c>
      <c r="B177" s="13" t="inlineStr">
        <is>
          <t>Gift claim</t>
        </is>
      </c>
      <c r="C177" s="13" t="inlineStr">
        <is>
          <t>Validation</t>
        </is>
      </c>
      <c r="D177" s="13" t="inlineStr">
        <is>
          <t>Dog name and address required</t>
        </is>
      </c>
      <c r="E177" s="13" t="inlineStr">
        <is>
          <t>Negative</t>
        </is>
      </c>
      <c r="F177" s="13" t="inlineStr">
        <is>
          <t>P1</t>
        </is>
      </c>
      <c r="G177" s="13" t="inlineStr">
        <is>
          <t>Valid gift</t>
        </is>
      </c>
      <c r="H177" s="13" t="inlineStr"/>
      <c r="I177" s="13" t="inlineStr">
        <is>
          <t>1. Claim with empty dog name / phone / city / address</t>
        </is>
      </c>
      <c r="J177" s="13" t="inlineStr">
        <is>
          <t>Specific error each time; nothing claimed</t>
        </is>
      </c>
      <c r="K177" s="13" t="inlineStr"/>
      <c r="L177" s="14" t="inlineStr">
        <is>
          <t>Not Run</t>
        </is>
      </c>
      <c r="M177" s="14" t="inlineStr"/>
      <c r="N177" s="14" t="inlineStr"/>
      <c r="O177" s="14" t="inlineStr"/>
      <c r="P177" s="14" t="inlineStr"/>
      <c r="Q177" s="14" t="inlineStr"/>
    </row>
    <row r="178">
      <c r="A178" s="13" t="inlineStr">
        <is>
          <t>TC-WEB-177</t>
        </is>
      </c>
      <c r="B178" s="13" t="inlineStr">
        <is>
          <t>Gift claim</t>
        </is>
      </c>
      <c r="C178" s="13" t="inlineStr">
        <is>
          <t>Prefill</t>
        </is>
      </c>
      <c r="D178" s="13" t="inlineStr">
        <is>
          <t>Recipient name pre-filled from the gift</t>
        </is>
      </c>
      <c r="E178" s="13" t="inlineStr">
        <is>
          <t>UI</t>
        </is>
      </c>
      <c r="F178" s="13" t="inlineStr">
        <is>
          <t>P4</t>
        </is>
      </c>
      <c r="G178" s="13" t="inlineStr">
        <is>
          <t>Gift with recipient name</t>
        </is>
      </c>
      <c r="H178" s="13" t="inlineStr"/>
      <c r="I178" s="13" t="inlineStr">
        <is>
          <t>1. Open link</t>
        </is>
      </c>
      <c r="J178" s="13" t="inlineStr">
        <is>
          <t>First/last name pre-filled in account and address</t>
        </is>
      </c>
      <c r="K178" s="13" t="inlineStr"/>
      <c r="L178" s="14" t="inlineStr">
        <is>
          <t>Not Run</t>
        </is>
      </c>
      <c r="M178" s="14" t="inlineStr"/>
      <c r="N178" s="14" t="inlineStr"/>
      <c r="O178" s="14" t="inlineStr"/>
      <c r="P178" s="14" t="inlineStr"/>
      <c r="Q178" s="14" t="inlineStr"/>
    </row>
    <row r="179">
      <c r="A179" s="13" t="inlineStr">
        <is>
          <t>TC-WEB-178</t>
        </is>
      </c>
      <c r="B179" s="13" t="inlineStr">
        <is>
          <t>Gift claim</t>
        </is>
      </c>
      <c r="C179" s="13" t="inlineStr">
        <is>
          <t>Reuse</t>
        </is>
      </c>
      <c r="D179" s="13" t="inlineStr">
        <is>
          <t>Gift cannot be claimed twice</t>
        </is>
      </c>
      <c r="E179" s="13" t="inlineStr">
        <is>
          <t>Security</t>
        </is>
      </c>
      <c r="F179" s="13" t="inlineStr">
        <is>
          <t>P1</t>
        </is>
      </c>
      <c r="G179" s="13" t="inlineStr">
        <is>
          <t>Claimed gift</t>
        </is>
      </c>
      <c r="H179" s="13" t="inlineStr"/>
      <c r="I179" s="13" t="inlineStr">
        <is>
          <t>1. Open the same link again (other account)</t>
        </is>
      </c>
      <c r="J179" s="13" t="inlineStr">
        <is>
          <t>"Already claimed"; no second subscription</t>
        </is>
      </c>
      <c r="K179" s="13" t="inlineStr"/>
      <c r="L179" s="14" t="inlineStr">
        <is>
          <t>Not Run</t>
        </is>
      </c>
      <c r="M179" s="14" t="inlineStr"/>
      <c r="N179" s="14" t="inlineStr"/>
      <c r="O179" s="14" t="inlineStr"/>
      <c r="P179" s="14" t="inlineStr"/>
      <c r="Q179" s="14" t="inlineStr"/>
    </row>
    <row r="180">
      <c r="A180" s="13" t="inlineStr">
        <is>
          <t>TC-WEB-179</t>
        </is>
      </c>
      <c r="B180" s="13" t="inlineStr">
        <is>
          <t>Gift claim</t>
        </is>
      </c>
      <c r="C180" s="13" t="inlineStr">
        <is>
          <t>Session</t>
        </is>
      </c>
      <c r="D180" s="13" t="inlineStr">
        <is>
          <t>Expired session during claim asks to sign in again</t>
        </is>
      </c>
      <c r="E180" s="13" t="inlineStr">
        <is>
          <t>Negative</t>
        </is>
      </c>
      <c r="F180" s="13" t="inlineStr">
        <is>
          <t>P3</t>
        </is>
      </c>
      <c r="G180" s="13" t="inlineStr">
        <is>
          <t>Invalid token in localStorage</t>
        </is>
      </c>
      <c r="H180" s="13" t="inlineStr"/>
      <c r="I180" s="13" t="inlineStr">
        <is>
          <t>1. Claim</t>
        </is>
      </c>
      <c r="J180" s="13" t="inlineStr">
        <is>
          <t>Message "Your session has expired" and account fields reappear</t>
        </is>
      </c>
      <c r="K180" s="13" t="inlineStr"/>
      <c r="L180" s="14" t="inlineStr">
        <is>
          <t>Not Run</t>
        </is>
      </c>
      <c r="M180" s="14" t="inlineStr"/>
      <c r="N180" s="14" t="inlineStr"/>
      <c r="O180" s="14" t="inlineStr"/>
      <c r="P180" s="14" t="inlineStr"/>
      <c r="Q180" s="14" t="inlineStr"/>
    </row>
    <row r="181">
      <c r="A181" s="13" t="inlineStr">
        <is>
          <t>TC-WEB-180</t>
        </is>
      </c>
      <c r="B181" s="13" t="inlineStr">
        <is>
          <t>Gift claim</t>
        </is>
      </c>
      <c r="C181" s="13" t="inlineStr">
        <is>
          <t>Payment</t>
        </is>
      </c>
      <c r="D181" s="13" t="inlineStr">
        <is>
          <t>Unpaid gift cannot be claimed</t>
        </is>
      </c>
      <c r="E181" s="13" t="inlineStr">
        <is>
          <t>Security</t>
        </is>
      </c>
      <c r="F181" s="13" t="inlineStr">
        <is>
          <t>P1</t>
        </is>
      </c>
      <c r="G181" s="13" t="inlineStr">
        <is>
          <t>Gift order still PENDING</t>
        </is>
      </c>
      <c r="H181" s="13" t="inlineStr"/>
      <c r="I181" s="13" t="inlineStr">
        <is>
          <t>1. Open claim link</t>
        </is>
      </c>
      <c r="J181" s="13" t="inlineStr">
        <is>
          <t>Not claimable until payment clears</t>
        </is>
      </c>
      <c r="K181" s="13" t="inlineStr"/>
      <c r="L181" s="14" t="inlineStr">
        <is>
          <t>Not Run</t>
        </is>
      </c>
      <c r="M181" s="14" t="inlineStr"/>
      <c r="N181" s="14" t="inlineStr"/>
      <c r="O181" s="14" t="inlineStr"/>
      <c r="P181" s="14" t="inlineStr"/>
      <c r="Q181" s="14" t="inlineStr"/>
    </row>
    <row r="182">
      <c r="A182" s="13" t="inlineStr">
        <is>
          <t>TC-WEB-181</t>
        </is>
      </c>
      <c r="B182" s="13" t="inlineStr">
        <is>
          <t>Blog</t>
        </is>
      </c>
      <c r="C182" s="13" t="inlineStr">
        <is>
          <t>List</t>
        </is>
      </c>
      <c r="D182" s="13" t="inlineStr">
        <is>
          <t>Blog list shows posts or an empty state</t>
        </is>
      </c>
      <c r="E182" s="13" t="inlineStr">
        <is>
          <t>Functional</t>
        </is>
      </c>
      <c r="F182" s="13" t="inlineStr">
        <is>
          <t>P3</t>
        </is>
      </c>
      <c r="G182" s="13" t="inlineStr">
        <is>
          <t>Guest, clean browser (no localStorage)</t>
        </is>
      </c>
      <c r="H182" s="13" t="inlineStr">
        <is>
          <t>0 posts in DB today</t>
        </is>
      </c>
      <c r="I182" s="13" t="inlineStr">
        <is>
          <t>1. Open /blog</t>
        </is>
      </c>
      <c r="J182" s="13" t="inlineStr">
        <is>
          <t>Posts listed, or a friendly "No posts yet"</t>
        </is>
      </c>
      <c r="K182" s="13" t="inlineStr"/>
      <c r="L182" s="14" t="inlineStr">
        <is>
          <t>Not Run</t>
        </is>
      </c>
      <c r="M182" s="14" t="inlineStr"/>
      <c r="N182" s="14" t="inlineStr"/>
      <c r="O182" s="14" t="inlineStr"/>
      <c r="P182" s="14" t="inlineStr"/>
      <c r="Q182" s="14" t="inlineStr"/>
    </row>
    <row r="183">
      <c r="A183" s="13" t="inlineStr">
        <is>
          <t>TC-WEB-182</t>
        </is>
      </c>
      <c r="B183" s="13" t="inlineStr">
        <is>
          <t>Blog</t>
        </is>
      </c>
      <c r="C183" s="13" t="inlineStr">
        <is>
          <t>Post</t>
        </is>
      </c>
      <c r="D183" s="13" t="inlineStr">
        <is>
          <t>Blog post page renders content and SEO tags</t>
        </is>
      </c>
      <c r="E183" s="13" t="inlineStr">
        <is>
          <t>Functional</t>
        </is>
      </c>
      <c r="F183" s="13" t="inlineStr">
        <is>
          <t>P3</t>
        </is>
      </c>
      <c r="G183" s="13" t="inlineStr">
        <is>
          <t>Published post</t>
        </is>
      </c>
      <c r="H183" s="13" t="inlineStr"/>
      <c r="I183" s="13" t="inlineStr">
        <is>
          <t>1. Open /blog/&lt;slug&gt;</t>
        </is>
      </c>
      <c r="J183" s="13" t="inlineStr">
        <is>
          <t>Title, date, content, images; tab title = post title</t>
        </is>
      </c>
      <c r="K183" s="13" t="inlineStr"/>
      <c r="L183" s="14" t="inlineStr">
        <is>
          <t>Not Run</t>
        </is>
      </c>
      <c r="M183" s="14" t="inlineStr"/>
      <c r="N183" s="14" t="inlineStr"/>
      <c r="O183" s="14" t="inlineStr"/>
      <c r="P183" s="14" t="inlineStr"/>
      <c r="Q183" s="14" t="inlineStr"/>
    </row>
    <row r="184">
      <c r="A184" s="13" t="inlineStr">
        <is>
          <t>TC-WEB-183</t>
        </is>
      </c>
      <c r="B184" s="13" t="inlineStr">
        <is>
          <t>Blog</t>
        </is>
      </c>
      <c r="C184" s="13" t="inlineStr">
        <is>
          <t>Category</t>
        </is>
      </c>
      <c r="D184" s="13" t="inlineStr">
        <is>
          <t>Blog category filter</t>
        </is>
      </c>
      <c r="E184" s="13" t="inlineStr">
        <is>
          <t>Functional</t>
        </is>
      </c>
      <c r="F184" s="13" t="inlineStr">
        <is>
          <t>P4</t>
        </is>
      </c>
      <c r="G184" s="13" t="inlineStr">
        <is>
          <t>Posts in categories</t>
        </is>
      </c>
      <c r="H184" s="13" t="inlineStr"/>
      <c r="I184" s="13" t="inlineStr">
        <is>
          <t>1. Open /blog/category/&lt;slug&gt;</t>
        </is>
      </c>
      <c r="J184" s="13" t="inlineStr">
        <is>
          <t>Only that category's posts</t>
        </is>
      </c>
      <c r="K184" s="13" t="inlineStr"/>
      <c r="L184" s="14" t="inlineStr">
        <is>
          <t>Not Run</t>
        </is>
      </c>
      <c r="M184" s="14" t="inlineStr"/>
      <c r="N184" s="14" t="inlineStr"/>
      <c r="O184" s="14" t="inlineStr"/>
      <c r="P184" s="14" t="inlineStr"/>
      <c r="Q184" s="14" t="inlineStr"/>
    </row>
    <row r="185">
      <c r="A185" s="13" t="inlineStr">
        <is>
          <t>TC-WEB-184</t>
        </is>
      </c>
      <c r="B185" s="13" t="inlineStr">
        <is>
          <t>Blog</t>
        </is>
      </c>
      <c r="C185" s="13" t="inlineStr">
        <is>
          <t>Post</t>
        </is>
      </c>
      <c r="D185" s="13" t="inlineStr">
        <is>
          <t>Unknown post slug shows 404</t>
        </is>
      </c>
      <c r="E185" s="13" t="inlineStr">
        <is>
          <t>Negative</t>
        </is>
      </c>
      <c r="F185" s="13" t="inlineStr">
        <is>
          <t>P4</t>
        </is>
      </c>
      <c r="G185" s="13" t="inlineStr">
        <is>
          <t>Guest, clean browser (no localStorage)</t>
        </is>
      </c>
      <c r="H185" s="13" t="inlineStr">
        <is>
          <t>/blog/nope</t>
        </is>
      </c>
      <c r="I185" s="13" t="inlineStr">
        <is>
          <t>1. Open</t>
        </is>
      </c>
      <c r="J185" s="13" t="inlineStr">
        <is>
          <t>404 page</t>
        </is>
      </c>
      <c r="K185" s="13" t="inlineStr"/>
      <c r="L185" s="14" t="inlineStr">
        <is>
          <t>Not Run</t>
        </is>
      </c>
      <c r="M185" s="14" t="inlineStr"/>
      <c r="N185" s="14" t="inlineStr"/>
      <c r="O185" s="14" t="inlineStr"/>
      <c r="P185" s="14" t="inlineStr"/>
      <c r="Q185" s="14" t="inlineStr"/>
    </row>
    <row r="186">
      <c r="A186" s="13" t="inlineStr">
        <is>
          <t>TC-WEB-185</t>
        </is>
      </c>
      <c r="B186" s="13" t="inlineStr">
        <is>
          <t>CMS pages</t>
        </is>
      </c>
      <c r="C186" s="13" t="inlineStr">
        <is>
          <t>Terms</t>
        </is>
      </c>
      <c r="D186" s="13" t="inlineStr">
        <is>
          <t>Terms page renders from CMS</t>
        </is>
      </c>
      <c r="E186" s="13" t="inlineStr">
        <is>
          <t>Functional</t>
        </is>
      </c>
      <c r="F186" s="13" t="inlineStr">
        <is>
          <t>P2</t>
        </is>
      </c>
      <c r="G186" s="13" t="inlineStr">
        <is>
          <t>Guest, clean browser (no localStorage)</t>
        </is>
      </c>
      <c r="H186" s="13" t="inlineStr">
        <is>
          <t>/pages/terms</t>
        </is>
      </c>
      <c r="I186" s="13" t="inlineStr">
        <is>
          <t>1. Open</t>
        </is>
      </c>
      <c r="J186" s="13" t="inlineStr">
        <is>
          <t>Terms content displayed</t>
        </is>
      </c>
      <c r="K186" s="13" t="inlineStr"/>
      <c r="L186" s="14" t="inlineStr">
        <is>
          <t>Not Run</t>
        </is>
      </c>
      <c r="M186" s="14" t="inlineStr"/>
      <c r="N186" s="14" t="inlineStr"/>
      <c r="O186" s="14" t="inlineStr"/>
      <c r="P186" s="14" t="inlineStr"/>
      <c r="Q186" s="14" t="inlineStr"/>
    </row>
    <row r="187">
      <c r="A187" s="13" t="inlineStr">
        <is>
          <t>TC-WEB-186</t>
        </is>
      </c>
      <c r="B187" s="13" t="inlineStr">
        <is>
          <t>CMS pages</t>
        </is>
      </c>
      <c r="C187" s="13" t="inlineStr">
        <is>
          <t>Missing</t>
        </is>
      </c>
      <c r="D187" s="13" t="inlineStr">
        <is>
          <t>Missing CMS page shows 404</t>
        </is>
      </c>
      <c r="E187" s="13" t="inlineStr">
        <is>
          <t>Negative</t>
        </is>
      </c>
      <c r="F187" s="13" t="inlineStr">
        <is>
          <t>P4</t>
        </is>
      </c>
      <c r="G187" s="13" t="inlineStr">
        <is>
          <t>Guest, clean browser (no localStorage)</t>
        </is>
      </c>
      <c r="H187" s="13" t="inlineStr">
        <is>
          <t>/pages/unknown</t>
        </is>
      </c>
      <c r="I187" s="13" t="inlineStr">
        <is>
          <t>1. Open</t>
        </is>
      </c>
      <c r="J187" s="13" t="inlineStr">
        <is>
          <t>404 page</t>
        </is>
      </c>
      <c r="K187" s="13" t="inlineStr"/>
      <c r="L187" s="14" t="inlineStr">
        <is>
          <t>Not Run</t>
        </is>
      </c>
      <c r="M187" s="14" t="inlineStr"/>
      <c r="N187" s="14" t="inlineStr"/>
      <c r="O187" s="14" t="inlineStr"/>
      <c r="P187" s="14" t="inlineStr"/>
      <c r="Q187" s="14" t="inlineStr"/>
    </row>
    <row r="188">
      <c r="A188" s="13" t="inlineStr">
        <is>
          <t>TC-WEB-187</t>
        </is>
      </c>
      <c r="B188" s="13" t="inlineStr">
        <is>
          <t>Promo popup</t>
        </is>
      </c>
      <c r="C188" s="13" t="inlineStr">
        <is>
          <t>Triggers</t>
        </is>
      </c>
      <c r="D188" s="13" t="inlineStr">
        <is>
          <t>Popup shows according to trigger (load, delay, scroll, exit)</t>
        </is>
      </c>
      <c r="E188" s="13" t="inlineStr">
        <is>
          <t>Functional</t>
        </is>
      </c>
      <c r="F188" s="13" t="inlineStr">
        <is>
          <t>P3</t>
        </is>
      </c>
      <c r="G188" s="13" t="inlineStr">
        <is>
          <t>Active popup configured in admin</t>
        </is>
      </c>
      <c r="H188" s="13" t="inlineStr"/>
      <c r="I188" s="13" t="inlineStr">
        <is>
          <t>1. Configure each trigger
2. Visit target page</t>
        </is>
      </c>
      <c r="J188" s="13" t="inlineStr">
        <is>
          <t>Shown at the right moment on the right pages only</t>
        </is>
      </c>
      <c r="K188" s="13" t="inlineStr"/>
      <c r="L188" s="14" t="inlineStr">
        <is>
          <t>Not Run</t>
        </is>
      </c>
      <c r="M188" s="14" t="inlineStr"/>
      <c r="N188" s="14" t="inlineStr"/>
      <c r="O188" s="14" t="inlineStr"/>
      <c r="P188" s="14" t="inlineStr"/>
      <c r="Q188" s="14" t="inlineStr"/>
    </row>
    <row r="189">
      <c r="A189" s="13" t="inlineStr">
        <is>
          <t>TC-WEB-188</t>
        </is>
      </c>
      <c r="B189" s="13" t="inlineStr">
        <is>
          <t>Promo popup</t>
        </is>
      </c>
      <c r="C189" s="13" t="inlineStr">
        <is>
          <t>Frequency</t>
        </is>
      </c>
      <c r="D189" s="13" t="inlineStr">
        <is>
          <t>Once-per-session and once-per-day respected</t>
        </is>
      </c>
      <c r="E189" s="13" t="inlineStr">
        <is>
          <t>Functional</t>
        </is>
      </c>
      <c r="F189" s="13" t="inlineStr">
        <is>
          <t>P3</t>
        </is>
      </c>
      <c r="G189" s="13" t="inlineStr">
        <is>
          <t>Popup with frequency set</t>
        </is>
      </c>
      <c r="H189" s="13" t="inlineStr"/>
      <c r="I189" s="13" t="inlineStr">
        <is>
          <t>1. Dismiss
2. Navigate/reload</t>
        </is>
      </c>
      <c r="J189" s="13" t="inlineStr">
        <is>
          <t>Not shown again within the set period</t>
        </is>
      </c>
      <c r="K189" s="13" t="inlineStr"/>
      <c r="L189" s="14" t="inlineStr">
        <is>
          <t>Not Run</t>
        </is>
      </c>
      <c r="M189" s="14" t="inlineStr"/>
      <c r="N189" s="14" t="inlineStr"/>
      <c r="O189" s="14" t="inlineStr"/>
      <c r="P189" s="14" t="inlineStr"/>
      <c r="Q189" s="14" t="inlineStr"/>
    </row>
    <row r="190">
      <c r="A190" s="13" t="inlineStr">
        <is>
          <t>TC-WEB-189</t>
        </is>
      </c>
      <c r="B190" s="13" t="inlineStr">
        <is>
          <t>Promo popup</t>
        </is>
      </c>
      <c r="C190" s="13" t="inlineStr">
        <is>
          <t>Dismiss</t>
        </is>
      </c>
      <c r="D190" s="13" t="inlineStr">
        <is>
          <t>Popup closes by ×, backdrop and Escape</t>
        </is>
      </c>
      <c r="E190" s="13" t="inlineStr">
        <is>
          <t>Accessibility</t>
        </is>
      </c>
      <c r="F190" s="13" t="inlineStr">
        <is>
          <t>P3</t>
        </is>
      </c>
      <c r="G190" s="13" t="inlineStr">
        <is>
          <t>Popup visible</t>
        </is>
      </c>
      <c r="H190" s="13" t="inlineStr"/>
      <c r="I190" s="13" t="inlineStr">
        <is>
          <t>1. Try each</t>
        </is>
      </c>
      <c r="J190" s="13" t="inlineStr">
        <is>
          <t>Closes each way; focus returns to page</t>
        </is>
      </c>
      <c r="K190" s="13" t="inlineStr"/>
      <c r="L190" s="14" t="inlineStr">
        <is>
          <t>Not Run</t>
        </is>
      </c>
      <c r="M190" s="14" t="inlineStr"/>
      <c r="N190" s="14" t="inlineStr"/>
      <c r="O190" s="14" t="inlineStr"/>
      <c r="P190" s="14" t="inlineStr"/>
      <c r="Q190" s="14" t="inlineStr"/>
    </row>
    <row r="191">
      <c r="A191" s="13" t="inlineStr">
        <is>
          <t>TC-WEB-190</t>
        </is>
      </c>
      <c r="B191" s="13" t="inlineStr">
        <is>
          <t>Promo popup</t>
        </is>
      </c>
      <c r="C191" s="13" t="inlineStr">
        <is>
          <t>Copy code</t>
        </is>
      </c>
      <c r="D191" s="13" t="inlineStr">
        <is>
          <t>Copy promo code button</t>
        </is>
      </c>
      <c r="E191" s="13" t="inlineStr">
        <is>
          <t>Functional</t>
        </is>
      </c>
      <c r="F191" s="13" t="inlineStr">
        <is>
          <t>P4</t>
        </is>
      </c>
      <c r="G191" s="13" t="inlineStr">
        <is>
          <t>Popup with code</t>
        </is>
      </c>
      <c r="H191" s="13" t="inlineStr"/>
      <c r="I191" s="13" t="inlineStr">
        <is>
          <t>1. Click copy</t>
        </is>
      </c>
      <c r="J191" s="13" t="inlineStr">
        <is>
          <t>Code copied; feedback shown</t>
        </is>
      </c>
      <c r="K191" s="13" t="inlineStr"/>
      <c r="L191" s="14" t="inlineStr">
        <is>
          <t>Not Run</t>
        </is>
      </c>
      <c r="M191" s="14" t="inlineStr"/>
      <c r="N191" s="14" t="inlineStr"/>
      <c r="O191" s="14" t="inlineStr"/>
      <c r="P191" s="14" t="inlineStr"/>
      <c r="Q191" s="14" t="inlineStr"/>
    </row>
    <row r="192">
      <c r="A192" s="13" t="inlineStr">
        <is>
          <t>TC-WEB-191</t>
        </is>
      </c>
      <c r="B192" s="13" t="inlineStr">
        <is>
          <t>SEO</t>
        </is>
      </c>
      <c r="C192" s="13" t="inlineStr">
        <is>
          <t>Sitemap</t>
        </is>
      </c>
      <c r="D192" s="13" t="inlineStr">
        <is>
          <t>sitemap.xml lists all public pages, products, categories and posts</t>
        </is>
      </c>
      <c r="E192" s="13" t="inlineStr">
        <is>
          <t>SEO</t>
        </is>
      </c>
      <c r="F192" s="13" t="inlineStr">
        <is>
          <t>P2</t>
        </is>
      </c>
      <c r="G192" s="13" t="inlineStr">
        <is>
          <t>Guest, clean browser (no localStorage)</t>
        </is>
      </c>
      <c r="H192" s="13" t="inlineStr">
        <is>
          <t>/sitemap.xml</t>
        </is>
      </c>
      <c r="I192" s="13" t="inlineStr">
        <is>
          <t>1. Open sitemap</t>
        </is>
      </c>
      <c r="J192" s="13" t="inlineStr">
        <is>
          <t>Includes /, /shop, /prices, /blog, every product and category URL</t>
        </is>
      </c>
      <c r="K192" s="13" t="inlineStr">
        <is>
          <t>D-05</t>
        </is>
      </c>
      <c r="L192" s="14" t="inlineStr">
        <is>
          <t>Not Run</t>
        </is>
      </c>
      <c r="M192" s="14" t="inlineStr"/>
      <c r="N192" s="14" t="inlineStr"/>
      <c r="O192" s="14" t="inlineStr"/>
      <c r="P192" s="14" t="inlineStr"/>
      <c r="Q192" s="14" t="inlineStr"/>
    </row>
    <row r="193">
      <c r="A193" s="13" t="inlineStr">
        <is>
          <t>TC-WEB-192</t>
        </is>
      </c>
      <c r="B193" s="13" t="inlineStr">
        <is>
          <t>SEO</t>
        </is>
      </c>
      <c r="C193" s="13" t="inlineStr">
        <is>
          <t>Robots</t>
        </is>
      </c>
      <c r="D193" s="13" t="inlineStr">
        <is>
          <t>robots.txt blocks private and transactional pages</t>
        </is>
      </c>
      <c r="E193" s="13" t="inlineStr">
        <is>
          <t>SEO</t>
        </is>
      </c>
      <c r="F193" s="13" t="inlineStr">
        <is>
          <t>P3</t>
        </is>
      </c>
      <c r="G193" s="13" t="inlineStr">
        <is>
          <t>Guest, clean browser (no localStorage)</t>
        </is>
      </c>
      <c r="H193" s="13" t="inlineStr">
        <is>
          <t>/robots.txt</t>
        </is>
      </c>
      <c r="I193" s="13" t="inlineStr">
        <is>
          <t>1. Open robots.txt</t>
        </is>
      </c>
      <c r="J193" s="13" t="inlineStr">
        <is>
          <t>Disallows /account, /cart, /checkout (incl. no trailing slash), /gift, /login, /register</t>
        </is>
      </c>
      <c r="K193" s="13" t="inlineStr">
        <is>
          <t>D-23</t>
        </is>
      </c>
      <c r="L193" s="14" t="inlineStr">
        <is>
          <t>Not Run</t>
        </is>
      </c>
      <c r="M193" s="14" t="inlineStr"/>
      <c r="N193" s="14" t="inlineStr"/>
      <c r="O193" s="14" t="inlineStr"/>
      <c r="P193" s="14" t="inlineStr"/>
      <c r="Q193" s="14" t="inlineStr"/>
    </row>
    <row r="194">
      <c r="A194" s="13" t="inlineStr">
        <is>
          <t>TC-WEB-193</t>
        </is>
      </c>
      <c r="B194" s="13" t="inlineStr">
        <is>
          <t>SEO</t>
        </is>
      </c>
      <c r="C194" s="13" t="inlineStr">
        <is>
          <t>Meta</t>
        </is>
      </c>
      <c r="D194" s="13" t="inlineStr">
        <is>
          <t>Each page has unique title and description</t>
        </is>
      </c>
      <c r="E194" s="13" t="inlineStr">
        <is>
          <t>SEO</t>
        </is>
      </c>
      <c r="F194" s="13" t="inlineStr">
        <is>
          <t>P3</t>
        </is>
      </c>
      <c r="G194" s="13" t="inlineStr">
        <is>
          <t>Guest, clean browser (no localStorage)</t>
        </is>
      </c>
      <c r="H194" s="13" t="inlineStr"/>
      <c r="I194" s="13" t="inlineStr">
        <is>
          <t>1. Check / /prices /shop /how-it-works /blog</t>
        </is>
      </c>
      <c r="J194" s="13" t="inlineStr">
        <is>
          <t>Unique, relevant title and description per page</t>
        </is>
      </c>
      <c r="K194" s="13" t="inlineStr"/>
      <c r="L194" s="14" t="inlineStr">
        <is>
          <t>Not Run</t>
        </is>
      </c>
      <c r="M194" s="14" t="inlineStr"/>
      <c r="N194" s="14" t="inlineStr"/>
      <c r="O194" s="14" t="inlineStr"/>
      <c r="P194" s="14" t="inlineStr"/>
      <c r="Q194" s="14" t="inlineStr"/>
    </row>
    <row r="195">
      <c r="A195" s="13" t="inlineStr">
        <is>
          <t>TC-WEB-194</t>
        </is>
      </c>
      <c r="B195" s="13" t="inlineStr">
        <is>
          <t>SEO</t>
        </is>
      </c>
      <c r="C195" s="13" t="inlineStr">
        <is>
          <t>Social</t>
        </is>
      </c>
      <c r="D195" s="13" t="inlineStr">
        <is>
          <t>Social share preview renders</t>
        </is>
      </c>
      <c r="E195" s="13" t="inlineStr">
        <is>
          <t>SEO</t>
        </is>
      </c>
      <c r="F195" s="13" t="inlineStr">
        <is>
          <t>P3</t>
        </is>
      </c>
      <c r="G195" s="13" t="inlineStr">
        <is>
          <t>Guest, clean browser (no localStorage)</t>
        </is>
      </c>
      <c r="H195" s="13" t="inlineStr"/>
      <c r="I195" s="13" t="inlineStr">
        <is>
          <t>1. Paste site URL into a share debugger</t>
        </is>
      </c>
      <c r="J195" s="13" t="inlineStr">
        <is>
          <t>Title, description and image appear</t>
        </is>
      </c>
      <c r="K195" s="13" t="inlineStr"/>
      <c r="L195" s="14" t="inlineStr">
        <is>
          <t>Not Run</t>
        </is>
      </c>
      <c r="M195" s="14" t="inlineStr"/>
      <c r="N195" s="14" t="inlineStr"/>
      <c r="O195" s="14" t="inlineStr"/>
      <c r="P195" s="14" t="inlineStr"/>
      <c r="Q195" s="14" t="inlineStr"/>
    </row>
    <row r="196">
      <c r="A196" s="13" t="inlineStr">
        <is>
          <t>TC-WEB-195</t>
        </is>
      </c>
      <c r="B196" s="13" t="inlineStr">
        <is>
          <t>SEO</t>
        </is>
      </c>
      <c r="C196" s="13" t="inlineStr">
        <is>
          <t>Language</t>
        </is>
      </c>
      <c r="D196" s="13" t="inlineStr">
        <is>
          <t>html lang matches selected language</t>
        </is>
      </c>
      <c r="E196" s="13" t="inlineStr">
        <is>
          <t>SEO</t>
        </is>
      </c>
      <c r="F196" s="13" t="inlineStr">
        <is>
          <t>P4</t>
        </is>
      </c>
      <c r="G196" s="13" t="inlineStr">
        <is>
          <t>Guest, clean browser (no localStorage)</t>
        </is>
      </c>
      <c r="H196" s="13" t="inlineStr"/>
      <c r="I196" s="13" t="inlineStr">
        <is>
          <t>1. Switch to English
2. Inspect &lt;html lang&gt;</t>
        </is>
      </c>
      <c r="J196" s="13" t="inlineStr">
        <is>
          <t>lang="en" in English, "ka" in Georgian</t>
        </is>
      </c>
      <c r="K196" s="13" t="inlineStr"/>
      <c r="L196" s="14" t="inlineStr">
        <is>
          <t>Not Run</t>
        </is>
      </c>
      <c r="M196" s="14" t="inlineStr"/>
      <c r="N196" s="14" t="inlineStr"/>
      <c r="O196" s="14" t="inlineStr"/>
      <c r="P196" s="14" t="inlineStr"/>
      <c r="Q196" s="14" t="inlineStr"/>
    </row>
    <row r="197">
      <c r="A197" s="13" t="inlineStr">
        <is>
          <t>TC-WEB-196</t>
        </is>
      </c>
      <c r="B197" s="13" t="inlineStr">
        <is>
          <t>Accessibility</t>
        </is>
      </c>
      <c r="C197" s="13" t="inlineStr">
        <is>
          <t>Keyboard</t>
        </is>
      </c>
      <c r="D197" s="13" t="inlineStr">
        <is>
          <t>Whole purchase flow works keyboard-only</t>
        </is>
      </c>
      <c r="E197" s="13" t="inlineStr">
        <is>
          <t>Accessibility</t>
        </is>
      </c>
      <c r="F197" s="13" t="inlineStr">
        <is>
          <t>P2</t>
        </is>
      </c>
      <c r="G197" s="13" t="inlineStr">
        <is>
          <t>Guest, clean browser (no localStorage)</t>
        </is>
      </c>
      <c r="H197" s="13" t="inlineStr"/>
      <c r="I197" s="13" t="inlineStr">
        <is>
          <t>1. Without a mouse: choose plan → checkout → review</t>
        </is>
      </c>
      <c r="J197" s="13" t="inlineStr">
        <is>
          <t>Every control reachable and operable; visible focus</t>
        </is>
      </c>
      <c r="K197" s="13" t="inlineStr">
        <is>
          <t>D-17</t>
        </is>
      </c>
      <c r="L197" s="14" t="inlineStr">
        <is>
          <t>Not Run</t>
        </is>
      </c>
      <c r="M197" s="14" t="inlineStr"/>
      <c r="N197" s="14" t="inlineStr"/>
      <c r="O197" s="14" t="inlineStr"/>
      <c r="P197" s="14" t="inlineStr"/>
      <c r="Q197" s="14" t="inlineStr"/>
    </row>
    <row r="198">
      <c r="A198" s="13" t="inlineStr">
        <is>
          <t>TC-WEB-197</t>
        </is>
      </c>
      <c r="B198" s="13" t="inlineStr">
        <is>
          <t>Accessibility</t>
        </is>
      </c>
      <c r="C198" s="13" t="inlineStr">
        <is>
          <t>Screen reader</t>
        </is>
      </c>
      <c r="D198" s="13" t="inlineStr">
        <is>
          <t>Forms have labels and errors are announced</t>
        </is>
      </c>
      <c r="E198" s="13" t="inlineStr">
        <is>
          <t>Accessibility</t>
        </is>
      </c>
      <c r="F198" s="13" t="inlineStr">
        <is>
          <t>P2</t>
        </is>
      </c>
      <c r="G198" s="13" t="inlineStr">
        <is>
          <t>Guest, clean browser (no localStorage)</t>
        </is>
      </c>
      <c r="H198" s="13" t="inlineStr">
        <is>
          <t>VoiceOver</t>
        </is>
      </c>
      <c r="I198" s="13" t="inlineStr">
        <is>
          <t>1. Navigate register and checkout forms</t>
        </is>
      </c>
      <c r="J198" s="13" t="inlineStr">
        <is>
          <t>Each input announced with its label; errors read out</t>
        </is>
      </c>
      <c r="K198" s="13" t="inlineStr"/>
      <c r="L198" s="14" t="inlineStr">
        <is>
          <t>Not Run</t>
        </is>
      </c>
      <c r="M198" s="14" t="inlineStr"/>
      <c r="N198" s="14" t="inlineStr"/>
      <c r="O198" s="14" t="inlineStr"/>
      <c r="P198" s="14" t="inlineStr"/>
      <c r="Q198" s="14" t="inlineStr"/>
    </row>
    <row r="199">
      <c r="A199" s="13" t="inlineStr">
        <is>
          <t>TC-WEB-198</t>
        </is>
      </c>
      <c r="B199" s="13" t="inlineStr">
        <is>
          <t>Accessibility</t>
        </is>
      </c>
      <c r="C199" s="13" t="inlineStr">
        <is>
          <t>Contrast</t>
        </is>
      </c>
      <c r="D199" s="13" t="inlineStr">
        <is>
          <t>Text contrast meets WCAG AA</t>
        </is>
      </c>
      <c r="E199" s="13" t="inlineStr">
        <is>
          <t>Accessibility</t>
        </is>
      </c>
      <c r="F199" s="13" t="inlineStr">
        <is>
          <t>P3</t>
        </is>
      </c>
      <c r="G199" s="13" t="inlineStr">
        <is>
          <t>Guest, clean browser (no localStorage)</t>
        </is>
      </c>
      <c r="H199" s="13" t="inlineStr"/>
      <c r="I199" s="13" t="inlineStr">
        <is>
          <t>1. Check grey helper text, badges, prices</t>
        </is>
      </c>
      <c r="J199" s="13" t="inlineStr">
        <is>
          <t>Contrast ≥ 4.5:1 for normal text</t>
        </is>
      </c>
      <c r="K199" s="13" t="inlineStr"/>
      <c r="L199" s="14" t="inlineStr">
        <is>
          <t>Not Run</t>
        </is>
      </c>
      <c r="M199" s="14" t="inlineStr"/>
      <c r="N199" s="14" t="inlineStr"/>
      <c r="O199" s="14" t="inlineStr"/>
      <c r="P199" s="14" t="inlineStr"/>
      <c r="Q199" s="14" t="inlineStr"/>
    </row>
    <row r="200">
      <c r="A200" s="13" t="inlineStr">
        <is>
          <t>TC-WEB-199</t>
        </is>
      </c>
      <c r="B200" s="13" t="inlineStr">
        <is>
          <t>Accessibility</t>
        </is>
      </c>
      <c r="C200" s="13" t="inlineStr">
        <is>
          <t>Images</t>
        </is>
      </c>
      <c r="D200" s="13" t="inlineStr">
        <is>
          <t>Images have meaningful alt text</t>
        </is>
      </c>
      <c r="E200" s="13" t="inlineStr">
        <is>
          <t>Accessibility</t>
        </is>
      </c>
      <c r="F200" s="13" t="inlineStr">
        <is>
          <t>P3</t>
        </is>
      </c>
      <c r="G200" s="13" t="inlineStr">
        <is>
          <t>Guest, clean browser (no localStorage)</t>
        </is>
      </c>
      <c r="H200" s="13" t="inlineStr"/>
      <c r="I200" s="13" t="inlineStr">
        <is>
          <t>1. Inspect product and cart images</t>
        </is>
      </c>
      <c r="J200" s="13" t="inlineStr">
        <is>
          <t>Alt describes the product (cart images currently alt="")</t>
        </is>
      </c>
      <c r="K200" s="13" t="inlineStr"/>
      <c r="L200" s="14" t="inlineStr">
        <is>
          <t>Not Run</t>
        </is>
      </c>
      <c r="M200" s="14" t="inlineStr"/>
      <c r="N200" s="14" t="inlineStr"/>
      <c r="O200" s="14" t="inlineStr"/>
      <c r="P200" s="14" t="inlineStr"/>
      <c r="Q200" s="14" t="inlineStr"/>
    </row>
    <row r="201">
      <c r="A201" s="13" t="inlineStr">
        <is>
          <t>TC-WEB-200</t>
        </is>
      </c>
      <c r="B201" s="13" t="inlineStr">
        <is>
          <t>Accessibility</t>
        </is>
      </c>
      <c r="C201" s="13" t="inlineStr">
        <is>
          <t>Zoom</t>
        </is>
      </c>
      <c r="D201" s="13" t="inlineStr">
        <is>
          <t>Layout usable at 200% zoom</t>
        </is>
      </c>
      <c r="E201" s="13" t="inlineStr">
        <is>
          <t>Accessibility</t>
        </is>
      </c>
      <c r="F201" s="13" t="inlineStr">
        <is>
          <t>P3</t>
        </is>
      </c>
      <c r="G201" s="13" t="inlineStr">
        <is>
          <t>Guest, clean browser (no localStorage)</t>
        </is>
      </c>
      <c r="H201" s="13" t="inlineStr"/>
      <c r="I201" s="13" t="inlineStr">
        <is>
          <t>1. Zoom to 200% on key pages</t>
        </is>
      </c>
      <c r="J201" s="13" t="inlineStr">
        <is>
          <t>No lost content or horizontal scroll</t>
        </is>
      </c>
      <c r="K201" s="13" t="inlineStr"/>
      <c r="L201" s="14" t="inlineStr">
        <is>
          <t>Not Run</t>
        </is>
      </c>
      <c r="M201" s="14" t="inlineStr"/>
      <c r="N201" s="14" t="inlineStr"/>
      <c r="O201" s="14" t="inlineStr"/>
      <c r="P201" s="14" t="inlineStr"/>
      <c r="Q201" s="14" t="inlineStr"/>
    </row>
    <row r="202">
      <c r="A202" s="13" t="inlineStr">
        <is>
          <t>TC-WEB-201</t>
        </is>
      </c>
      <c r="B202" s="13" t="inlineStr">
        <is>
          <t>Responsive</t>
        </is>
      </c>
      <c r="C202" s="13" t="inlineStr">
        <is>
          <t>Phone</t>
        </is>
      </c>
      <c r="D202" s="13" t="inlineStr">
        <is>
          <t>Key pages usable at 375px</t>
        </is>
      </c>
      <c r="E202" s="13" t="inlineStr">
        <is>
          <t>Compatibility</t>
        </is>
      </c>
      <c r="F202" s="13" t="inlineStr">
        <is>
          <t>P1</t>
        </is>
      </c>
      <c r="G202" s="13" t="inlineStr">
        <is>
          <t>Guest, clean browser (no localStorage)</t>
        </is>
      </c>
      <c r="H202" s="13" t="inlineStr">
        <is>
          <t>iPhone SE / 375px</t>
        </is>
      </c>
      <c r="I202" s="13" t="inlineStr">
        <is>
          <t>1. Check /, /prices, /shop, product, /cart, /checkout</t>
        </is>
      </c>
      <c r="J202" s="13" t="inlineStr">
        <is>
          <t>No horizontal scroll; buttons tappable (≥ 44px)</t>
        </is>
      </c>
      <c r="K202" s="13" t="inlineStr">
        <is>
          <t>D-07</t>
        </is>
      </c>
      <c r="L202" s="14" t="inlineStr">
        <is>
          <t>Not Run</t>
        </is>
      </c>
      <c r="M202" s="14" t="inlineStr"/>
      <c r="N202" s="14" t="inlineStr"/>
      <c r="O202" s="14" t="inlineStr"/>
      <c r="P202" s="14" t="inlineStr"/>
      <c r="Q202" s="14" t="inlineStr"/>
    </row>
    <row r="203">
      <c r="A203" s="13" t="inlineStr">
        <is>
          <t>TC-WEB-202</t>
        </is>
      </c>
      <c r="B203" s="13" t="inlineStr">
        <is>
          <t>Responsive</t>
        </is>
      </c>
      <c r="C203" s="13" t="inlineStr">
        <is>
          <t>Tablet</t>
        </is>
      </c>
      <c r="D203" s="13" t="inlineStr">
        <is>
          <t>Key pages usable at 768px</t>
        </is>
      </c>
      <c r="E203" s="13" t="inlineStr">
        <is>
          <t>Compatibility</t>
        </is>
      </c>
      <c r="F203" s="13" t="inlineStr">
        <is>
          <t>P2</t>
        </is>
      </c>
      <c r="G203" s="13" t="inlineStr">
        <is>
          <t>Guest, clean browser (no localStorage)</t>
        </is>
      </c>
      <c r="H203" s="13" t="inlineStr">
        <is>
          <t>iPad</t>
        </is>
      </c>
      <c r="I203" s="13" t="inlineStr">
        <is>
          <t>1. Same pages</t>
        </is>
      </c>
      <c r="J203" s="13" t="inlineStr">
        <is>
          <t>Layout adapts; nothing overlaps</t>
        </is>
      </c>
      <c r="K203" s="13" t="inlineStr"/>
      <c r="L203" s="14" t="inlineStr">
        <is>
          <t>Not Run</t>
        </is>
      </c>
      <c r="M203" s="14" t="inlineStr"/>
      <c r="N203" s="14" t="inlineStr"/>
      <c r="O203" s="14" t="inlineStr"/>
      <c r="P203" s="14" t="inlineStr"/>
      <c r="Q203" s="14" t="inlineStr"/>
    </row>
    <row r="204">
      <c r="A204" s="13" t="inlineStr">
        <is>
          <t>TC-WEB-203</t>
        </is>
      </c>
      <c r="B204" s="13" t="inlineStr">
        <is>
          <t>Responsive</t>
        </is>
      </c>
      <c r="C204" s="13" t="inlineStr">
        <is>
          <t>Browsers</t>
        </is>
      </c>
      <c r="D204" s="13" t="inlineStr">
        <is>
          <t>Cross-browser: Chrome, Safari, Firefox, Edge (desktop)</t>
        </is>
      </c>
      <c r="E204" s="13" t="inlineStr">
        <is>
          <t>Compatibility</t>
        </is>
      </c>
      <c r="F204" s="13" t="inlineStr">
        <is>
          <t>P2</t>
        </is>
      </c>
      <c r="G204" s="13" t="inlineStr">
        <is>
          <t>Guest, clean browser (no localStorage)</t>
        </is>
      </c>
      <c r="H204" s="13" t="inlineStr">
        <is>
          <t>Latest versions</t>
        </is>
      </c>
      <c r="I204" s="13" t="inlineStr">
        <is>
          <t>1. Run smoke tests in each</t>
        </is>
      </c>
      <c r="J204" s="13" t="inlineStr">
        <is>
          <t>Same behaviour and look</t>
        </is>
      </c>
      <c r="K204" s="13" t="inlineStr"/>
      <c r="L204" s="14" t="inlineStr">
        <is>
          <t>Not Run</t>
        </is>
      </c>
      <c r="M204" s="14" t="inlineStr"/>
      <c r="N204" s="14" t="inlineStr"/>
      <c r="O204" s="14" t="inlineStr"/>
      <c r="P204" s="14" t="inlineStr"/>
      <c r="Q204" s="14" t="inlineStr"/>
    </row>
    <row r="205">
      <c r="A205" s="13" t="inlineStr">
        <is>
          <t>TC-WEB-204</t>
        </is>
      </c>
      <c r="B205" s="13" t="inlineStr">
        <is>
          <t>Responsive</t>
        </is>
      </c>
      <c r="C205" s="13" t="inlineStr">
        <is>
          <t>Browsers</t>
        </is>
      </c>
      <c r="D205" s="13" t="inlineStr">
        <is>
          <t>Mobile Safari and Chrome Android</t>
        </is>
      </c>
      <c r="E205" s="13" t="inlineStr">
        <is>
          <t>Compatibility</t>
        </is>
      </c>
      <c r="F205" s="13" t="inlineStr">
        <is>
          <t>P1</t>
        </is>
      </c>
      <c r="G205" s="13" t="inlineStr">
        <is>
          <t>Guest, clean browser (no localStorage)</t>
        </is>
      </c>
      <c r="H205" s="13" t="inlineStr">
        <is>
          <t>iOS 17+, Android 13+</t>
        </is>
      </c>
      <c r="I205" s="13" t="inlineStr">
        <is>
          <t>1. Run purchase flow</t>
        </is>
      </c>
      <c r="J205" s="13" t="inlineStr">
        <is>
          <t>Completes without layout or input issues</t>
        </is>
      </c>
      <c r="K205" s="13" t="inlineStr"/>
      <c r="L205" s="14" t="inlineStr">
        <is>
          <t>Not Run</t>
        </is>
      </c>
      <c r="M205" s="14" t="inlineStr"/>
      <c r="N205" s="14" t="inlineStr"/>
      <c r="O205" s="14" t="inlineStr"/>
      <c r="P205" s="14" t="inlineStr"/>
      <c r="Q205" s="14" t="inlineStr"/>
    </row>
    <row r="206">
      <c r="A206" s="13" t="inlineStr">
        <is>
          <t>TC-WEB-205</t>
        </is>
      </c>
      <c r="B206" s="13" t="inlineStr">
        <is>
          <t>Performance</t>
        </is>
      </c>
      <c r="C206" s="13" t="inlineStr">
        <is>
          <t>Speed</t>
        </is>
      </c>
      <c r="D206" s="13" t="inlineStr">
        <is>
          <t>Homepage and pricing load fast</t>
        </is>
      </c>
      <c r="E206" s="13" t="inlineStr">
        <is>
          <t>Performance</t>
        </is>
      </c>
      <c r="F206" s="13" t="inlineStr">
        <is>
          <t>P2</t>
        </is>
      </c>
      <c r="G206" s="13" t="inlineStr">
        <is>
          <t>Guest, clean browser (no localStorage)</t>
        </is>
      </c>
      <c r="H206" s="13" t="inlineStr">
        <is>
          <t>Lighthouse mobile</t>
        </is>
      </c>
      <c r="I206" s="13" t="inlineStr">
        <is>
          <t>1. Run Lighthouse on / and /prices</t>
        </is>
      </c>
      <c r="J206" s="13" t="inlineStr">
        <is>
          <t>Performance ≥ 80; LCP &lt; 2.5 s; CLS &lt; 0.1</t>
        </is>
      </c>
      <c r="K206" s="13" t="inlineStr"/>
      <c r="L206" s="14" t="inlineStr">
        <is>
          <t>Not Run</t>
        </is>
      </c>
      <c r="M206" s="14" t="inlineStr"/>
      <c r="N206" s="14" t="inlineStr"/>
      <c r="O206" s="14" t="inlineStr"/>
      <c r="P206" s="14" t="inlineStr"/>
      <c r="Q206" s="14" t="inlineStr"/>
    </row>
    <row r="207">
      <c r="A207" s="13" t="inlineStr">
        <is>
          <t>TC-WEB-206</t>
        </is>
      </c>
      <c r="B207" s="13" t="inlineStr">
        <is>
          <t>Performance</t>
        </is>
      </c>
      <c r="C207" s="13" t="inlineStr">
        <is>
          <t>Images</t>
        </is>
      </c>
      <c r="D207" s="13" t="inlineStr">
        <is>
          <t>Product images are optimised</t>
        </is>
      </c>
      <c r="E207" s="13" t="inlineStr">
        <is>
          <t>Performance</t>
        </is>
      </c>
      <c r="F207" s="13" t="inlineStr">
        <is>
          <t>P3</t>
        </is>
      </c>
      <c r="G207" s="13" t="inlineStr">
        <is>
          <t>Guest, clean browser (no localStorage)</t>
        </is>
      </c>
      <c r="H207" s="13" t="inlineStr"/>
      <c r="I207" s="13" t="inlineStr">
        <is>
          <t>1. Inspect image sizes on /shop</t>
        </is>
      </c>
      <c r="J207" s="13" t="inlineStr">
        <is>
          <t>Responsive, compressed images; lazy-loaded below the fold</t>
        </is>
      </c>
      <c r="K207" s="13" t="inlineStr"/>
      <c r="L207" s="14" t="inlineStr">
        <is>
          <t>Not Run</t>
        </is>
      </c>
      <c r="M207" s="14" t="inlineStr"/>
      <c r="N207" s="14" t="inlineStr"/>
      <c r="O207" s="14" t="inlineStr"/>
      <c r="P207" s="14" t="inlineStr"/>
      <c r="Q207" s="14" t="inlineStr"/>
    </row>
    <row r="208">
      <c r="A208" s="13" t="inlineStr">
        <is>
          <t>TC-WEB-207</t>
        </is>
      </c>
      <c r="B208" s="13" t="inlineStr">
        <is>
          <t>Security</t>
        </is>
      </c>
      <c r="C208" s="13" t="inlineStr">
        <is>
          <t>XSS</t>
        </is>
      </c>
      <c r="D208" s="13" t="inlineStr">
        <is>
          <t>User-entered text is never executed</t>
        </is>
      </c>
      <c r="E208" s="13" t="inlineStr">
        <is>
          <t>Security</t>
        </is>
      </c>
      <c r="F208" s="13" t="inlineStr">
        <is>
          <t>P1</t>
        </is>
      </c>
      <c r="G208" s="13" t="inlineStr">
        <is>
          <t>Signed in as a customer</t>
        </is>
      </c>
      <c r="H208" s="13" t="inlineStr">
        <is>
          <t>&lt;img src=x onerror=alert(1)&gt; in name, dog name, gift message</t>
        </is>
      </c>
      <c r="I208" s="13" t="inlineStr">
        <is>
          <t>1. Save each
2. View where shown (account, review, gift claim, admin)</t>
        </is>
      </c>
      <c r="J208" s="13" t="inlineStr">
        <is>
          <t>Shown as text; no script runs</t>
        </is>
      </c>
      <c r="K208" s="13" t="inlineStr"/>
      <c r="L208" s="14" t="inlineStr">
        <is>
          <t>Not Run</t>
        </is>
      </c>
      <c r="M208" s="14" t="inlineStr"/>
      <c r="N208" s="14" t="inlineStr"/>
      <c r="O208" s="14" t="inlineStr"/>
      <c r="P208" s="14" t="inlineStr"/>
      <c r="Q208" s="14" t="inlineStr"/>
    </row>
    <row r="209">
      <c r="A209" s="13" t="inlineStr">
        <is>
          <t>TC-WEB-208</t>
        </is>
      </c>
      <c r="B209" s="13" t="inlineStr">
        <is>
          <t>Security</t>
        </is>
      </c>
      <c r="C209" s="13" t="inlineStr">
        <is>
          <t>Token</t>
        </is>
      </c>
      <c r="D209" s="13" t="inlineStr">
        <is>
          <t>Login token is not exposed in URLs</t>
        </is>
      </c>
      <c r="E209" s="13" t="inlineStr">
        <is>
          <t>Security</t>
        </is>
      </c>
      <c r="F209" s="13" t="inlineStr">
        <is>
          <t>P2</t>
        </is>
      </c>
      <c r="G209" s="13" t="inlineStr">
        <is>
          <t>Signed in as a customer</t>
        </is>
      </c>
      <c r="H209" s="13" t="inlineStr"/>
      <c r="I209" s="13" t="inlineStr">
        <is>
          <t>1. Walk through the site and check URLs</t>
        </is>
      </c>
      <c r="J209" s="13" t="inlineStr">
        <is>
          <t>No token in any URL</t>
        </is>
      </c>
      <c r="K209" s="13" t="inlineStr"/>
      <c r="L209" s="14" t="inlineStr">
        <is>
          <t>Not Run</t>
        </is>
      </c>
      <c r="M209" s="14" t="inlineStr"/>
      <c r="N209" s="14" t="inlineStr"/>
      <c r="O209" s="14" t="inlineStr"/>
      <c r="P209" s="14" t="inlineStr"/>
      <c r="Q209" s="14" t="inlineStr"/>
    </row>
    <row r="210">
      <c r="A210" s="13" t="inlineStr">
        <is>
          <t>TC-WEB-209</t>
        </is>
      </c>
      <c r="B210" s="13" t="inlineStr">
        <is>
          <t>Security</t>
        </is>
      </c>
      <c r="C210" s="13" t="inlineStr">
        <is>
          <t>HTTPS</t>
        </is>
      </c>
      <c r="D210" s="13" t="inlineStr">
        <is>
          <t>Production forces HTTPS</t>
        </is>
      </c>
      <c r="E210" s="13" t="inlineStr">
        <is>
          <t>Security</t>
        </is>
      </c>
      <c r="F210" s="13" t="inlineStr">
        <is>
          <t>P1</t>
        </is>
      </c>
      <c r="G210" s="13" t="inlineStr">
        <is>
          <t>Production</t>
        </is>
      </c>
      <c r="H210" s="13" t="inlineStr"/>
      <c r="I210" s="13" t="inlineStr">
        <is>
          <t>1. Open http://pupbox.ge</t>
        </is>
      </c>
      <c r="J210" s="13" t="inlineStr">
        <is>
          <t>Redirects to https</t>
        </is>
      </c>
      <c r="K210" s="13" t="inlineStr"/>
      <c r="L210" s="14" t="inlineStr">
        <is>
          <t>Not Run</t>
        </is>
      </c>
      <c r="M210" s="14" t="inlineStr"/>
      <c r="N210" s="14" t="inlineStr"/>
      <c r="O210" s="14" t="inlineStr"/>
      <c r="P210" s="14" t="inlineStr"/>
      <c r="Q210" s="14" t="inlineStr"/>
    </row>
    <row r="211">
      <c r="A211" s="13" t="inlineStr">
        <is>
          <t>TC-WEB-210</t>
        </is>
      </c>
      <c r="B211" s="13" t="inlineStr">
        <is>
          <t>Security</t>
        </is>
      </c>
      <c r="C211" s="13" t="inlineStr">
        <is>
          <t>Order access</t>
        </is>
      </c>
      <c r="D211" s="13" t="inlineStr">
        <is>
          <t>Customer cannot read another customer's data via API</t>
        </is>
      </c>
      <c r="E211" s="13" t="inlineStr">
        <is>
          <t>Security</t>
        </is>
      </c>
      <c r="F211" s="13" t="inlineStr">
        <is>
          <t>P1</t>
        </is>
      </c>
      <c r="G211" s="13" t="inlineStr">
        <is>
          <t>Two accounts</t>
        </is>
      </c>
      <c r="H211" s="13" t="inlineStr"/>
      <c r="I211" s="13" t="inlineStr">
        <is>
          <t>1. As B, call /orders/my, /me/subscriptions with A's ids</t>
        </is>
      </c>
      <c r="J211" s="13" t="inlineStr">
        <is>
          <t>Only B's data returned</t>
        </is>
      </c>
      <c r="K211" s="13" t="inlineStr"/>
      <c r="L211" s="14" t="inlineStr">
        <is>
          <t>Not Run</t>
        </is>
      </c>
      <c r="M211" s="14" t="inlineStr"/>
      <c r="N211" s="14" t="inlineStr"/>
      <c r="O211" s="14" t="inlineStr"/>
      <c r="P211" s="14" t="inlineStr"/>
      <c r="Q211" s="14" t="inlineStr"/>
    </row>
  </sheetData>
  <autoFilter ref="A1:Q211"/>
  <conditionalFormatting sqref="A2:Q211">
    <cfRule type="expression" priority="1" dxfId="0">
      <formula>$L2="Fail"</formula>
    </cfRule>
    <cfRule type="expression" priority="2" dxfId="1">
      <formula>$L2="Pass"</formula>
    </cfRule>
    <cfRule type="expression" priority="3" dxfId="2">
      <formula>$L2="Blocked"</formula>
    </cfRule>
  </conditionalFormatting>
  <dataValidations count="1">
    <dataValidation sqref="L2:L211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0" customWidth="1" min="4" max="4"/>
    <col width="38" customWidth="1" min="5" max="5"/>
    <col width="30" customWidth="1" min="6" max="6"/>
    <col width="44" customWidth="1" min="7" max="7"/>
    <col width="48" customWidth="1" min="8" max="8"/>
    <col width="18" customWidth="1" min="9" max="9"/>
    <col width="20" customWidth="1" min="10" max="10"/>
    <col width="12" customWidth="1" min="11" max="11"/>
    <col width="12" customWidth="1" min="12" max="12"/>
  </cols>
  <sheetData>
    <row r="1" ht="30" customHeight="1">
      <c r="A1" s="12" t="inlineStr">
        <is>
          <t>ID</t>
        </is>
      </c>
      <c r="B1" s="12" t="inlineStr">
        <is>
          <t>Severity</t>
        </is>
      </c>
      <c r="C1" s="12" t="inlineStr">
        <is>
          <t>Area</t>
        </is>
      </c>
      <c r="D1" s="12" t="inlineStr">
        <is>
          <t>Title</t>
        </is>
      </c>
      <c r="E1" s="12" t="inlineStr">
        <is>
          <t>Steps to Reproduce</t>
        </is>
      </c>
      <c r="F1" s="12" t="inlineStr">
        <is>
          <t>Expected</t>
        </is>
      </c>
      <c r="G1" s="12" t="inlineStr">
        <is>
          <t>Actual</t>
        </is>
      </c>
      <c r="H1" s="12" t="inlineStr">
        <is>
          <t>Evidence</t>
        </is>
      </c>
      <c r="I1" s="12" t="inlineStr">
        <is>
          <t>Confidence</t>
        </is>
      </c>
      <c r="J1" s="12" t="inlineStr">
        <is>
          <t>Linked Test Cases</t>
        </is>
      </c>
      <c r="K1" s="12" t="inlineStr">
        <is>
          <t>Owner</t>
        </is>
      </c>
      <c r="L1" s="12" t="inlineStr">
        <is>
          <t>Fix Status</t>
        </is>
      </c>
    </row>
    <row r="2">
      <c r="A2" s="13" t="inlineStr">
        <is>
          <t>D-01</t>
        </is>
      </c>
      <c r="B2" s="13" t="inlineStr">
        <is>
          <t>High</t>
        </is>
      </c>
      <c r="C2" s="13" t="inlineStr">
        <is>
          <t>Pricing</t>
        </is>
      </c>
      <c r="D2" s="13" t="inlineStr">
        <is>
          <t>Plan badges never show on the website</t>
        </is>
      </c>
      <c r="E2" s="13" t="inlineStr">
        <is>
          <t>1. In admin, give a plan the "Most Popular" or "Best Value" badge
2. Open /prices</t>
        </is>
      </c>
      <c r="F2" s="13" t="inlineStr">
        <is>
          <t>Badge ribbon and highlight on that plan</t>
        </is>
      </c>
      <c r="G2" s="13" t="inlineStr">
        <is>
          <t>No badge or highlight. Admin saves "Most Popular"/"Best Value"; website checks for "popular"/"best_value"</t>
        </is>
      </c>
      <c r="H2" s="13" t="inlineStr">
        <is>
          <t>Confirmed live: API returns badge "Most Popular" (on "3 month") and "Best Value" (on "1 Year"). Code: apps/web/src/components/PlanCard.tsx (isPopular/isBest)</t>
        </is>
      </c>
      <c r="I2" s="13" t="inlineStr">
        <is>
          <t>Confirmed</t>
        </is>
      </c>
      <c r="J2" s="13" t="inlineStr">
        <is>
          <t>TC-WEB-032</t>
        </is>
      </c>
      <c r="K2" s="14" t="inlineStr">
        <is>
          <t>Commit 64b7f57 (fix/launch-critical)</t>
        </is>
      </c>
      <c r="L2" s="14" t="inlineStr">
        <is>
          <t>Fixed</t>
        </is>
      </c>
    </row>
    <row r="3">
      <c r="A3" s="13" t="inlineStr">
        <is>
          <t>D-02</t>
        </is>
      </c>
      <c r="B3" s="13" t="inlineStr">
        <is>
          <t>Critical</t>
        </is>
      </c>
      <c r="C3" s="13" t="inlineStr">
        <is>
          <t>Custom box</t>
        </is>
      </c>
      <c r="D3" s="13" t="inlineStr">
        <is>
          <t>"Order Custom Box" does not add the chosen items to the cart</t>
        </is>
      </c>
      <c r="E3" s="13" t="inlineStr">
        <is>
          <t>1. /prices → Build your own box
2. Pick 3+ items
3. Click Order Custom Box</t>
        </is>
      </c>
      <c r="F3" s="13" t="inlineStr">
        <is>
          <t>Checkout contains the custom box at the shown price</t>
        </is>
      </c>
      <c r="G3" s="13" t="inlineStr">
        <is>
          <t>Goes to /checkout?custom=true with the cart unchanged (empty or previous items). The catalogue is hard-coded, not real products</t>
        </is>
      </c>
      <c r="H3" s="13" t="inlineStr">
        <is>
          <t>Code: apps/web/src/app/prices/CustomBox.tsx (router.push only); checkout ignores the custom param</t>
        </is>
      </c>
      <c r="I3" s="13" t="inlineStr">
        <is>
          <t>From code — verify</t>
        </is>
      </c>
      <c r="J3" s="13" t="inlineStr">
        <is>
          <t>TC-WEB-047</t>
        </is>
      </c>
      <c r="K3" s="14" t="inlineStr">
        <is>
          <t>Commit edb99f0 (removed) (fix/launch-critical)</t>
        </is>
      </c>
      <c r="L3" s="14" t="inlineStr">
        <is>
          <t>Fixed</t>
        </is>
      </c>
    </row>
    <row r="4">
      <c r="A4" s="13" t="inlineStr">
        <is>
          <t>D-03</t>
        </is>
      </c>
      <c r="B4" s="13" t="inlineStr">
        <is>
          <t>Critical</t>
        </is>
      </c>
      <c r="C4" s="13" t="inlineStr">
        <is>
          <t>Cart / Checkout</t>
        </is>
      </c>
      <c r="D4" s="13" t="inlineStr">
        <is>
          <t>Guest cart is lost when the customer signs in or creates an account</t>
        </is>
      </c>
      <c r="E4" s="13" t="inlineStr">
        <is>
          <t>1. As guest add items
2. At checkout create account or sign in
3. Continue to review / place order</t>
        </is>
      </c>
      <c r="F4" s="13" t="inlineStr">
        <is>
          <t>Same items, now on the account</t>
        </is>
      </c>
      <c r="G4" s="13" t="inlineStr">
        <is>
          <t>Cart is looked up by user after login and by session before; there is no merge, so the account cart is empty and the order fails or shows wrong items</t>
        </is>
      </c>
      <c r="H4" s="13" t="inlineStr">
        <is>
          <t>Code: apps/api/src/modules/cart/cart.service.ts getOrCreate (userId OR sessionId, no merge); checkout does not refresh cart after login</t>
        </is>
      </c>
      <c r="I4" s="13" t="inlineStr">
        <is>
          <t>From code — verify</t>
        </is>
      </c>
      <c r="J4" s="13" t="inlineStr">
        <is>
          <t>TC-WEB-080, TC-WEB-113, TC-WEB-114</t>
        </is>
      </c>
      <c r="K4" s="14" t="inlineStr">
        <is>
          <t>Commit d59ab61 (fix/launch-critical)</t>
        </is>
      </c>
      <c r="L4" s="14" t="inlineStr">
        <is>
          <t>Fixed</t>
        </is>
      </c>
    </row>
    <row r="5">
      <c r="A5" s="13" t="inlineStr">
        <is>
          <t>D-04</t>
        </is>
      </c>
      <c r="B5" s="13" t="inlineStr">
        <is>
          <t>High</t>
        </is>
      </c>
      <c r="C5" s="13" t="inlineStr">
        <is>
          <t>Payment</t>
        </is>
      </c>
      <c r="D5" s="13" t="inlineStr">
        <is>
          <t>Thank-you page says "Payment confirmed!" without a payment</t>
        </is>
      </c>
      <c r="E5" s="13" t="inlineStr">
        <is>
          <t>Open /checkout/thank-you (no params) or ?payment_status=processing</t>
        </is>
      </c>
      <c r="F5" s="13" t="inlineStr">
        <is>
          <t>Neutral or pending message</t>
        </is>
      </c>
      <c r="G5" s="13" t="inlineStr">
        <is>
          <t>"🎉 Payment confirmed!" — success is assumed for missing or unknown statuses</t>
        </is>
      </c>
      <c r="H5" s="13" t="inlineStr">
        <is>
          <t>Code: apps/web/src/app/checkout/thank-you/page.tsx (isSuccess = approved || !paymentStatus; unknown values fall through)</t>
        </is>
      </c>
      <c r="I5" s="13" t="inlineStr">
        <is>
          <t>From code</t>
        </is>
      </c>
      <c r="J5" s="13" t="inlineStr">
        <is>
          <t>TC-WEB-146</t>
        </is>
      </c>
      <c r="K5" s="14" t="inlineStr">
        <is>
          <t>Commit 28d3942 (fix/launch-critical)</t>
        </is>
      </c>
      <c r="L5" s="14" t="inlineStr">
        <is>
          <t>Fixed</t>
        </is>
      </c>
    </row>
    <row r="6">
      <c r="A6" s="13" t="inlineStr">
        <is>
          <t>D-05</t>
        </is>
      </c>
      <c r="B6" s="13" t="inlineStr">
        <is>
          <t>Medium</t>
        </is>
      </c>
      <c r="C6" s="13" t="inlineStr">
        <is>
          <t>SEO</t>
        </is>
      </c>
      <c r="D6" s="13" t="inlineStr">
        <is>
          <t>sitemap.xml lists no products, categories or posts</t>
        </is>
      </c>
      <c r="E6" s="13" t="inlineStr">
        <is>
          <t>Open /sitemap.xml</t>
        </is>
      </c>
      <c r="F6" s="13" t="inlineStr">
        <is>
          <t>All public URLs</t>
        </is>
      </c>
      <c r="G6" s="13" t="inlineStr">
        <is>
          <t>Only 4 static URLs. Code expects products.products; API returns items</t>
        </is>
      </c>
      <c r="H6" s="13" t="inlineStr">
        <is>
          <t>Confirmed live: 4 &lt;loc&gt; entries with 6 products and 5 categories in DB. Code: apps/web/src/app/sitemap.ts</t>
        </is>
      </c>
      <c r="I6" s="13" t="inlineStr">
        <is>
          <t>Confirmed</t>
        </is>
      </c>
      <c r="J6" s="13" t="inlineStr">
        <is>
          <t>TC-WEB-191</t>
        </is>
      </c>
      <c r="K6" s="14" t="inlineStr">
        <is>
          <t>Commit fe33a36 (fix/launch-critical)</t>
        </is>
      </c>
      <c r="L6" s="14" t="inlineStr">
        <is>
          <t>Fixed</t>
        </is>
      </c>
    </row>
    <row r="7">
      <c r="A7" s="13" t="inlineStr">
        <is>
          <t>D-06</t>
        </is>
      </c>
      <c r="B7" s="13" t="inlineStr">
        <is>
          <t>High</t>
        </is>
      </c>
      <c r="C7" s="13" t="inlineStr">
        <is>
          <t>Header</t>
        </is>
      </c>
      <c r="D7" s="13" t="inlineStr">
        <is>
          <t>No cart link and no signed-in state in the header</t>
        </is>
      </c>
      <c r="E7" s="13" t="inlineStr">
        <is>
          <t>Add to cart, or sign in, then look at the header</t>
        </is>
      </c>
      <c r="F7" s="13" t="inlineStr">
        <is>
          <t>Cart icon with count; account menu when signed in</t>
        </is>
      </c>
      <c r="G7" s="13" t="inlineStr">
        <is>
          <t>No cart access except via product page button; "Sign In" always shown. CartIcon component exists but is not used</t>
        </is>
      </c>
      <c r="H7" s="13" t="inlineStr">
        <is>
          <t>Code: apps/web/src/components/Header.tsx; CartIcon.tsx unused</t>
        </is>
      </c>
      <c r="I7" s="13" t="inlineStr">
        <is>
          <t>From code</t>
        </is>
      </c>
      <c r="J7" s="13" t="inlineStr">
        <is>
          <t>TC-WEB-005, TC-WEB-006</t>
        </is>
      </c>
      <c r="K7" s="14" t="inlineStr">
        <is>
          <t>Commit 64b7f57 (fix/launch-critical)</t>
        </is>
      </c>
      <c r="L7" s="14" t="inlineStr">
        <is>
          <t>Fixed</t>
        </is>
      </c>
    </row>
    <row r="8">
      <c r="A8" s="13" t="inlineStr">
        <is>
          <t>D-07</t>
        </is>
      </c>
      <c r="B8" s="13" t="inlineStr">
        <is>
          <t>High</t>
        </is>
      </c>
      <c r="C8" s="13" t="inlineStr">
        <is>
          <t>Mobile</t>
        </is>
      </c>
      <c r="D8" s="13" t="inlineStr">
        <is>
          <t>No navigation on phones</t>
        </is>
      </c>
      <c r="E8" s="13" t="inlineStr">
        <is>
          <t>Open the site at 375px width</t>
        </is>
      </c>
      <c r="F8" s="13" t="inlineStr">
        <is>
          <t>Menu button with all links and Sign In</t>
        </is>
      </c>
      <c r="G8" s="13" t="inlineStr">
        <is>
          <t>Nav hidden below 768px, Sign In hidden below 640px, no replacement menu</t>
        </is>
      </c>
      <c r="H8" s="13" t="inlineStr">
        <is>
          <t>Code: Header.tsx (hidden md:flex / hidden sm:block)</t>
        </is>
      </c>
      <c r="I8" s="13" t="inlineStr">
        <is>
          <t>From code</t>
        </is>
      </c>
      <c r="J8" s="13" t="inlineStr">
        <is>
          <t>TC-WEB-007, TC-WEB-201</t>
        </is>
      </c>
      <c r="K8" s="14" t="inlineStr">
        <is>
          <t>Commit 64b7f57 (fix/launch-critical)</t>
        </is>
      </c>
      <c r="L8" s="14" t="inlineStr">
        <is>
          <t>Fixed</t>
        </is>
      </c>
    </row>
    <row r="9">
      <c r="A9" s="13" t="inlineStr">
        <is>
          <t>D-08</t>
        </is>
      </c>
      <c r="B9" s="13" t="inlineStr">
        <is>
          <t>Medium</t>
        </is>
      </c>
      <c r="C9" s="13" t="inlineStr">
        <is>
          <t>Localization</t>
        </is>
      </c>
      <c r="D9" s="13" t="inlineStr">
        <is>
          <t>Language menu only opens on mouse hover</t>
        </is>
      </c>
      <c r="E9" s="13" t="inlineStr">
        <is>
          <t>Tap EN/KA on a phone, or Tab + Enter</t>
        </is>
      </c>
      <c r="F9" s="13" t="inlineStr">
        <is>
          <t>Menu opens</t>
        </is>
      </c>
      <c r="G9" s="13" t="inlineStr">
        <is>
          <t>Opens via CSS :hover only; not keyboard or touch friendly</t>
        </is>
      </c>
      <c r="H9" s="13" t="inlineStr">
        <is>
          <t>Code: Header.tsx (group-hover)</t>
        </is>
      </c>
      <c r="I9" s="13" t="inlineStr">
        <is>
          <t>From code</t>
        </is>
      </c>
      <c r="J9" s="13" t="inlineStr">
        <is>
          <t>TC-WEB-015</t>
        </is>
      </c>
      <c r="K9" s="14" t="inlineStr">
        <is>
          <t>Commit 64b7f57 (fix/launch-critical)</t>
        </is>
      </c>
      <c r="L9" s="14" t="inlineStr">
        <is>
          <t>Fixed</t>
        </is>
      </c>
    </row>
    <row r="10">
      <c r="A10" s="13" t="inlineStr">
        <is>
          <t>D-09</t>
        </is>
      </c>
      <c r="B10" s="13" t="inlineStr">
        <is>
          <t>Low</t>
        </is>
      </c>
      <c r="C10" s="13" t="inlineStr">
        <is>
          <t>Shop</t>
        </is>
      </c>
      <c r="D10" s="13" t="inlineStr">
        <is>
          <t>Default sort labelled "Price: Low → High" but applies no sort</t>
        </is>
      </c>
      <c r="E10" s="13" t="inlineStr">
        <is>
          <t>Open /shop, read sort dropdown</t>
        </is>
      </c>
      <c r="F10" s="13" t="inlineStr">
        <is>
          <t>Default reads "Featured" or similar</t>
        </is>
      </c>
      <c r="G10" s="13" t="inlineStr">
        <is>
          <t>First option and "price_asc" share the same label</t>
        </is>
      </c>
      <c r="H10" s="13" t="inlineStr">
        <is>
          <t>Code: apps/web/src/app/shop/ShopControls.tsx</t>
        </is>
      </c>
      <c r="I10" s="13" t="inlineStr">
        <is>
          <t>From code</t>
        </is>
      </c>
      <c r="J10" s="13" t="inlineStr">
        <is>
          <t>TC-WEB-059</t>
        </is>
      </c>
      <c r="K10" s="14" t="inlineStr">
        <is>
          <t>Commit 394d70a (fix/launch-critical)</t>
        </is>
      </c>
      <c r="L10" s="14" t="inlineStr">
        <is>
          <t>Fixed</t>
        </is>
      </c>
    </row>
    <row r="11">
      <c r="A11" s="13" t="inlineStr">
        <is>
          <t>D-10</t>
        </is>
      </c>
      <c r="B11" s="13" t="inlineStr">
        <is>
          <t>Medium</t>
        </is>
      </c>
      <c r="C11" s="13" t="inlineStr">
        <is>
          <t>Shop</t>
        </is>
      </c>
      <c r="D11" s="13" t="inlineStr">
        <is>
          <t>Sort, brand filter and count only apply to the current page</t>
        </is>
      </c>
      <c r="E11" s="13" t="inlineStr">
        <is>
          <t>Have more products than one page; sort or filter</t>
        </is>
      </c>
      <c r="F11" s="13" t="inlineStr">
        <is>
          <t>Global sort/filter and total count</t>
        </is>
      </c>
      <c r="G11" s="13" t="inlineStr">
        <is>
          <t>Sorting/brand filter run in the browser on one page of results; count shows that page only</t>
        </is>
      </c>
      <c r="H11" s="13" t="inlineStr">
        <is>
          <t>Code: apps/web/src/app/shop/page.tsx</t>
        </is>
      </c>
      <c r="I11" s="13" t="inlineStr">
        <is>
          <t>From code</t>
        </is>
      </c>
      <c r="J11" s="13" t="inlineStr">
        <is>
          <t>TC-WEB-060, TC-WEB-062</t>
        </is>
      </c>
      <c r="K11" s="14" t="inlineStr">
        <is>
          <t>Commit b5cba6d (fix/launch-critical)</t>
        </is>
      </c>
      <c r="L11" s="14" t="inlineStr">
        <is>
          <t>Fixed</t>
        </is>
      </c>
    </row>
    <row r="12">
      <c r="A12" s="13" t="inlineStr">
        <is>
          <t>D-11</t>
        </is>
      </c>
      <c r="B12" s="13" t="inlineStr">
        <is>
          <t>High</t>
        </is>
      </c>
      <c r="C12" s="13" t="inlineStr">
        <is>
          <t>Checkout</t>
        </is>
      </c>
      <c r="D12" s="13" t="inlineStr">
        <is>
          <t>Delivery address fields are not validated</t>
        </is>
      </c>
      <c r="E12" s="13" t="inlineStr">
        <is>
          <t>At delivery step leave name/phone/city/address empty, pick a method, Continue</t>
        </is>
      </c>
      <c r="F12" s="13" t="inlineStr">
        <is>
          <t>Field errors; cannot continue</t>
        </is>
      </c>
      <c r="G12" s="13" t="inlineStr">
        <is>
          <t>Proceeds to review and order can be placed with an empty address</t>
        </is>
      </c>
      <c r="H12" s="13" t="inlineStr">
        <is>
          <t>Code: checkout/page.tsx handleDeliveryStep checks method only</t>
        </is>
      </c>
      <c r="I12" s="13" t="inlineStr">
        <is>
          <t>From code</t>
        </is>
      </c>
      <c r="J12" s="13" t="inlineStr">
        <is>
          <t>TC-WEB-121, TC-WEB-122</t>
        </is>
      </c>
      <c r="K12" s="14" t="inlineStr">
        <is>
          <t>Commit 28d3942 (fix/launch-critical)</t>
        </is>
      </c>
      <c r="L12" s="14" t="inlineStr">
        <is>
          <t>Fixed</t>
        </is>
      </c>
    </row>
    <row r="13">
      <c r="A13" s="13" t="inlineStr">
        <is>
          <t>D-12</t>
        </is>
      </c>
      <c r="B13" s="13" t="inlineStr">
        <is>
          <t>Medium</t>
        </is>
      </c>
      <c r="C13" s="13" t="inlineStr">
        <is>
          <t>Checkout</t>
        </is>
      </c>
      <c r="D13" s="13" t="inlineStr">
        <is>
          <t>Checkout opens with an empty cart</t>
        </is>
      </c>
      <c r="E13" s="13" t="inlineStr">
        <is>
          <t>Open /checkout with empty cart</t>
        </is>
      </c>
      <c r="F13" s="13" t="inlineStr">
        <is>
          <t>Redirect to cart / empty message</t>
        </is>
      </c>
      <c r="G13" s="13" t="inlineStr">
        <is>
          <t>Full checkout flow shown with ₾0.00</t>
        </is>
      </c>
      <c r="H13" s="13" t="inlineStr">
        <is>
          <t>Code: checkout/page.tsx (no guard)</t>
        </is>
      </c>
      <c r="I13" s="13" t="inlineStr">
        <is>
          <t>From code</t>
        </is>
      </c>
      <c r="J13" s="13" t="inlineStr">
        <is>
          <t>TC-WEB-111</t>
        </is>
      </c>
      <c r="K13" s="14" t="inlineStr">
        <is>
          <t>Commit 28d3942 (fix/launch-critical)</t>
        </is>
      </c>
      <c r="L13" s="14" t="inlineStr">
        <is>
          <t>Fixed</t>
        </is>
      </c>
    </row>
    <row r="14">
      <c r="A14" s="13" t="inlineStr">
        <is>
          <t>D-13</t>
        </is>
      </c>
      <c r="B14" s="13" t="inlineStr">
        <is>
          <t>Medium</t>
        </is>
      </c>
      <c r="C14" s="13" t="inlineStr">
        <is>
          <t>Checkout</t>
        </is>
      </c>
      <c r="D14" s="13" t="inlineStr">
        <is>
          <t>Back + Continue on the dog step creates duplicate dogs</t>
        </is>
      </c>
      <c r="E14" s="13" t="inlineStr">
        <is>
          <t>Fill dog, Continue, Back, Continue</t>
        </is>
      </c>
      <c r="F14" s="13" t="inlineStr">
        <is>
          <t>One dog</t>
        </is>
      </c>
      <c r="G14" s="13" t="inlineStr">
        <is>
          <t>A new dog is POSTed every time</t>
        </is>
      </c>
      <c r="H14" s="13" t="inlineStr">
        <is>
          <t>Code: checkout/page.tsx handleDogStep</t>
        </is>
      </c>
      <c r="I14" s="13" t="inlineStr">
        <is>
          <t>From code</t>
        </is>
      </c>
      <c r="J14" s="13" t="inlineStr">
        <is>
          <t>TC-WEB-120</t>
        </is>
      </c>
      <c r="K14" s="14" t="inlineStr">
        <is>
          <t>Commit 28d3942 (fix/launch-critical)</t>
        </is>
      </c>
      <c r="L14" s="14" t="inlineStr">
        <is>
          <t>Fixed</t>
        </is>
      </c>
    </row>
    <row r="15">
      <c r="A15" s="13" t="inlineStr">
        <is>
          <t>D-14</t>
        </is>
      </c>
      <c r="B15" s="13" t="inlineStr">
        <is>
          <t>Medium</t>
        </is>
      </c>
      <c r="C15" s="13" t="inlineStr">
        <is>
          <t>Localization</t>
        </is>
      </c>
      <c r="D15" s="13" t="inlineStr">
        <is>
          <t>Georgian typo: "კუთხის" (corner) instead of "ყუთის" (box) in title, social preview and hero badge</t>
        </is>
      </c>
      <c r="E15" s="13" t="inlineStr">
        <is>
          <t>Look at the tab title on / and the hero badge</t>
        </is>
      </c>
      <c r="F15" s="13" t="inlineStr">
        <is>
          <t>"ყოველთვიური ყუთის გამოწერა"</t>
        </is>
      </c>
      <c r="G15" s="13" t="inlineStr">
        <is>
          <t>"ყოველთვიური კუთხის გამოწერა" — wrong word in the most visible SEO text</t>
        </is>
      </c>
      <c r="H15" s="13" t="inlineStr">
        <is>
          <t>Confirmed live: page title. Code: apps/web/src/app/layout.tsx, context/LanguageContext.tsx hero.badge</t>
        </is>
      </c>
      <c r="I15" s="13" t="inlineStr">
        <is>
          <t>Confirmed</t>
        </is>
      </c>
      <c r="J15" s="13" t="inlineStr">
        <is>
          <t>TC-WEB-017</t>
        </is>
      </c>
      <c r="K15" s="14" t="inlineStr">
        <is>
          <t>Commit 64b7f57 + fe33a36 (fix/launch-critical)</t>
        </is>
      </c>
      <c r="L15" s="14" t="inlineStr">
        <is>
          <t>Fixed</t>
        </is>
      </c>
    </row>
    <row r="16">
      <c r="A16" s="13" t="inlineStr">
        <is>
          <t>D-15</t>
        </is>
      </c>
      <c r="B16" s="13" t="inlineStr">
        <is>
          <t>Medium</t>
        </is>
      </c>
      <c r="C16" s="13" t="inlineStr">
        <is>
          <t>Localization</t>
        </is>
      </c>
      <c r="D16" s="13" t="inlineStr">
        <is>
          <t>Most transactional pages are English-only</t>
        </is>
      </c>
      <c r="E16" s="13" t="inlineStr">
        <is>
          <t>Select ქართული, open cart/checkout/shop/account</t>
        </is>
      </c>
      <c r="F16" s="13" t="inlineStr">
        <is>
          <t>All Georgian</t>
        </is>
      </c>
      <c r="G16" s="13" t="inlineStr">
        <is>
          <t>Hard-coded English on cart, checkout, shop, product, account, orders, subscriptions, referrals, thank-you, gift claim</t>
        </is>
      </c>
      <c r="H16" s="13" t="inlineStr">
        <is>
          <t>Code: those pages don't use t()</t>
        </is>
      </c>
      <c r="I16" s="13" t="inlineStr">
        <is>
          <t>From code</t>
        </is>
      </c>
      <c r="J16" s="13" t="inlineStr">
        <is>
          <t>TC-WEB-016</t>
        </is>
      </c>
      <c r="K16" s="14" t="inlineStr">
        <is>
          <t>Commit d5b25ca + 394d70a + a705aba (fix/launch-critical)</t>
        </is>
      </c>
      <c r="L16" s="14" t="inlineStr">
        <is>
          <t>Fixed</t>
        </is>
      </c>
    </row>
    <row r="17">
      <c r="A17" s="13" t="inlineStr">
        <is>
          <t>D-16</t>
        </is>
      </c>
      <c r="B17" s="13" t="inlineStr">
        <is>
          <t>Low</t>
        </is>
      </c>
      <c r="C17" s="13" t="inlineStr">
        <is>
          <t>Pricing</t>
        </is>
      </c>
      <c r="D17" s="13" t="inlineStr">
        <is>
          <t>Plan prices rounded to whole lari</t>
        </is>
      </c>
      <c r="E17" s="13" t="inlineStr">
        <is>
          <t>Open /prices</t>
        </is>
      </c>
      <c r="F17" s="13" t="inlineStr">
        <is>
          <t>₾134.99 (exact)</t>
        </is>
      </c>
      <c r="G17" s="13" t="inlineStr">
        <is>
          <t>Shows ₾135 total and rounded ≈ monthly; cart then shows ₾134.99</t>
        </is>
      </c>
      <c r="H17" s="13" t="inlineStr">
        <is>
          <t>Code: PlanCard.tsx toFixed(0)</t>
        </is>
      </c>
      <c r="I17" s="13" t="inlineStr">
        <is>
          <t>From code</t>
        </is>
      </c>
      <c r="J17" s="13" t="inlineStr">
        <is>
          <t>TC-WEB-019, TC-WEB-031</t>
        </is>
      </c>
      <c r="K17" s="14" t="inlineStr">
        <is>
          <t>Commit 64b7f57 (fix/launch-critical)</t>
        </is>
      </c>
      <c r="L17" s="14" t="inlineStr">
        <is>
          <t>Fixed</t>
        </is>
      </c>
    </row>
    <row r="18">
      <c r="A18" s="13" t="inlineStr">
        <is>
          <t>D-17</t>
        </is>
      </c>
      <c r="B18" s="13" t="inlineStr">
        <is>
          <t>Medium</t>
        </is>
      </c>
      <c r="C18" s="13" t="inlineStr">
        <is>
          <t>Accessibility</t>
        </is>
      </c>
      <c r="D18" s="13" t="inlineStr">
        <is>
          <t>Plan cards are not keyboard accessible</t>
        </is>
      </c>
      <c r="E18" s="13" t="inlineStr">
        <is>
          <t>Tab through /prices</t>
        </is>
      </c>
      <c r="F18" s="13" t="inlineStr">
        <is>
          <t>Each plan focusable and selectable</t>
        </is>
      </c>
      <c r="G18" s="13" t="inlineStr">
        <is>
          <t>Cards are clickable &lt;div&gt;s with no button role or tab stop</t>
        </is>
      </c>
      <c r="H18" s="13" t="inlineStr">
        <is>
          <t>Code: PlanCard.tsx</t>
        </is>
      </c>
      <c r="I18" s="13" t="inlineStr">
        <is>
          <t>From code</t>
        </is>
      </c>
      <c r="J18" s="13" t="inlineStr">
        <is>
          <t>TC-WEB-040, TC-WEB-196</t>
        </is>
      </c>
      <c r="K18" s="14" t="inlineStr">
        <is>
          <t>Commit 64b7f57 (fix/launch-critical)</t>
        </is>
      </c>
      <c r="L18" s="14" t="inlineStr">
        <is>
          <t>Fixed</t>
        </is>
      </c>
    </row>
    <row r="19">
      <c r="A19" s="13" t="inlineStr">
        <is>
          <t>D-18</t>
        </is>
      </c>
      <c r="B19" s="13" t="inlineStr">
        <is>
          <t>Medium</t>
        </is>
      </c>
      <c r="C19" s="13" t="inlineStr">
        <is>
          <t>Product page</t>
        </is>
      </c>
      <c r="D19" s="13" t="inlineStr">
        <is>
          <t>Add-to-cart errors are silent; quantity not capped by stock</t>
        </is>
      </c>
      <c r="E19" s="13" t="inlineStr">
        <is>
          <t>Set qty above stock (chicken-jerky-treats has 3) and add</t>
        </is>
      </c>
      <c r="F19" s="13" t="inlineStr">
        <is>
          <t>Clear message</t>
        </is>
      </c>
      <c r="G19" s="13" t="inlineStr">
        <is>
          <t>No catch around addProduct — failure gives no feedback; stepper allows any number</t>
        </is>
      </c>
      <c r="H19" s="13" t="inlineStr">
        <is>
          <t>Code: apps/web/src/components/AddToCartButton.tsx</t>
        </is>
      </c>
      <c r="I19" s="13" t="inlineStr">
        <is>
          <t>From code</t>
        </is>
      </c>
      <c r="J19" s="13" t="inlineStr">
        <is>
          <t>TC-WEB-066, TC-WEB-069</t>
        </is>
      </c>
      <c r="K19" s="14" t="inlineStr">
        <is>
          <t>Commit 64b7f57 (fix/launch-critical)</t>
        </is>
      </c>
      <c r="L19" s="14" t="inlineStr">
        <is>
          <t>Fixed</t>
        </is>
      </c>
    </row>
    <row r="20">
      <c r="A20" s="13" t="inlineStr">
        <is>
          <t>D-19</t>
        </is>
      </c>
      <c r="B20" s="13" t="inlineStr">
        <is>
          <t>Medium</t>
        </is>
      </c>
      <c r="C20" s="13" t="inlineStr">
        <is>
          <t>Security</t>
        </is>
      </c>
      <c r="D20" s="13" t="inlineStr">
        <is>
          <t>Login/register redirect parameter is not restricted to this site</t>
        </is>
      </c>
      <c r="E20" s="13" t="inlineStr">
        <is>
          <t>Open /login?redirect=https://example.com and sign in</t>
        </is>
      </c>
      <c r="F20" s="13" t="inlineStr">
        <is>
          <t>Stay on Pupbox</t>
        </is>
      </c>
      <c r="G20" s="13" t="inlineStr">
        <is>
          <t>Value passed straight to router.push — possible open redirect (phishing vector)</t>
        </is>
      </c>
      <c r="H20" s="13" t="inlineStr">
        <is>
          <t>Code: login/page.tsx, register/page.tsx</t>
        </is>
      </c>
      <c r="I20" s="13" t="inlineStr">
        <is>
          <t>From code — verify</t>
        </is>
      </c>
      <c r="J20" s="13" t="inlineStr">
        <is>
          <t>TC-WEB-105</t>
        </is>
      </c>
      <c r="K20" s="14" t="inlineStr">
        <is>
          <t>Commit be57882 (fix/launch-critical)</t>
        </is>
      </c>
      <c r="L20" s="14" t="inlineStr">
        <is>
          <t>Fixed</t>
        </is>
      </c>
    </row>
    <row r="21">
      <c r="A21" s="13" t="inlineStr">
        <is>
          <t>D-20</t>
        </is>
      </c>
      <c r="B21" s="13" t="inlineStr">
        <is>
          <t>Medium</t>
        </is>
      </c>
      <c r="C21" s="13" t="inlineStr">
        <is>
          <t>Account</t>
        </is>
      </c>
      <c r="D21" s="13" t="inlineStr">
        <is>
          <t>Expired customer session shows broken/empty pages instead of asking to sign in</t>
        </is>
      </c>
      <c r="E21" s="13" t="inlineStr">
        <is>
          <t>Corrupt pupbox_token, open /account and /account/orders</t>
        </is>
      </c>
      <c r="F21" s="13" t="inlineStr">
        <is>
          <t>Redirect to login</t>
        </is>
      </c>
      <c r="G21" s="13" t="inlineStr">
        <is>
          <t>Profile blank / "Update failed"; orders show error or empty</t>
        </is>
      </c>
      <c r="H21" s="13" t="inlineStr">
        <is>
          <t>Code: account/page.tsx, account/orders/page.tsx</t>
        </is>
      </c>
      <c r="I21" s="13" t="inlineStr">
        <is>
          <t>From code</t>
        </is>
      </c>
      <c r="J21" s="13" t="inlineStr">
        <is>
          <t>TC-WEB-108</t>
        </is>
      </c>
      <c r="K21" s="14" t="inlineStr">
        <is>
          <t>Commit a705aba (fix/launch-critical)</t>
        </is>
      </c>
      <c r="L21" s="14" t="inlineStr">
        <is>
          <t>Fixed</t>
        </is>
      </c>
    </row>
    <row r="22">
      <c r="A22" s="13" t="inlineStr">
        <is>
          <t>D-21</t>
        </is>
      </c>
      <c r="B22" s="13" t="inlineStr">
        <is>
          <t>Low</t>
        </is>
      </c>
      <c r="C22" s="13" t="inlineStr">
        <is>
          <t>My orders</t>
        </is>
      </c>
      <c r="D22" s="13" t="inlineStr">
        <is>
          <t>Statuses PAID/PACKED/FAILED unstyled; failed orders cannot be retried</t>
        </is>
      </c>
      <c r="E22" s="13" t="inlineStr">
        <is>
          <t>Have orders in those statuses</t>
        </is>
      </c>
      <c r="F22" s="13" t="inlineStr">
        <is>
          <t>Friendly labels; retry for FAILED</t>
        </is>
      </c>
      <c r="G22" s="13" t="inlineStr">
        <is>
          <t>Raw enum text in grey; Pay only for PENDING</t>
        </is>
      </c>
      <c r="H22" s="13" t="inlineStr">
        <is>
          <t>Code: account/orders/page.tsx STATUS_COLORS</t>
        </is>
      </c>
      <c r="I22" s="13" t="inlineStr">
        <is>
          <t>From code</t>
        </is>
      </c>
      <c r="J22" s="13" t="inlineStr">
        <is>
          <t>TC-WEB-157, TC-WEB-159</t>
        </is>
      </c>
      <c r="K22" s="14" t="inlineStr">
        <is>
          <t>Commit a705aba (labels) + 38c0974 (retry: declined orders stay open) (fix/launch-critical)</t>
        </is>
      </c>
      <c r="L22" s="14" t="inlineStr">
        <is>
          <t>Fixed</t>
        </is>
      </c>
    </row>
    <row r="23">
      <c r="A23" s="13" t="inlineStr">
        <is>
          <t>D-22</t>
        </is>
      </c>
      <c r="B23" s="13" t="inlineStr">
        <is>
          <t>Low</t>
        </is>
      </c>
      <c r="C23" s="13" t="inlineStr">
        <is>
          <t>Subscriptions</t>
        </is>
      </c>
      <c r="D23" s="13" t="inlineStr">
        <is>
          <t>No resume for paused, no cancel for pending subscriptions</t>
        </is>
      </c>
      <c r="E23" s="13" t="inlineStr">
        <is>
          <t>Have PAUSED / PENDING subscriptions</t>
        </is>
      </c>
      <c r="F23" s="13" t="inlineStr">
        <is>
          <t>Resume / cancel available</t>
        </is>
      </c>
      <c r="G23" s="13" t="inlineStr">
        <is>
          <t>Only ACTIVE can cancel; nothing to resume</t>
        </is>
      </c>
      <c r="H23" s="13" t="inlineStr">
        <is>
          <t>Code: account/subscriptions/page.tsx</t>
        </is>
      </c>
      <c r="I23" s="13" t="inlineStr">
        <is>
          <t>From code</t>
        </is>
      </c>
      <c r="J23" s="13" t="inlineStr">
        <is>
          <t>TC-WEB-166</t>
        </is>
      </c>
      <c r="K23" s="14" t="inlineStr">
        <is>
          <t>Commit 858b6a8 (fix/launch-critical)</t>
        </is>
      </c>
      <c r="L23" s="14" t="inlineStr">
        <is>
          <t>Fixed</t>
        </is>
      </c>
    </row>
    <row r="24">
      <c r="A24" s="13" t="inlineStr">
        <is>
          <t>D-23</t>
        </is>
      </c>
      <c r="B24" s="13" t="inlineStr">
        <is>
          <t>Low</t>
        </is>
      </c>
      <c r="C24" s="13" t="inlineStr">
        <is>
          <t>SEO</t>
        </is>
      </c>
      <c r="D24" s="13" t="inlineStr">
        <is>
          <t>robots.txt misses /checkout (no slash), /gift, /login, /register</t>
        </is>
      </c>
      <c r="E24" s="13" t="inlineStr">
        <is>
          <t>Open /robots.txt</t>
        </is>
      </c>
      <c r="F24" s="13" t="inlineStr">
        <is>
          <t>Private flows disallowed</t>
        </is>
      </c>
      <c r="G24" s="13" t="inlineStr">
        <is>
          <t>Only /account/, /cart, /checkout/, /api/ disallowed</t>
        </is>
      </c>
      <c r="H24" s="13" t="inlineStr">
        <is>
          <t>Confirmed live: /robots.txt</t>
        </is>
      </c>
      <c r="I24" s="13" t="inlineStr">
        <is>
          <t>Confirmed</t>
        </is>
      </c>
      <c r="J24" s="13" t="inlineStr">
        <is>
          <t>TC-WEB-192</t>
        </is>
      </c>
      <c r="K24" s="14" t="inlineStr">
        <is>
          <t>Commit fe33a36 (fix/launch-critical)</t>
        </is>
      </c>
      <c r="L24" s="14" t="inlineStr">
        <is>
          <t>Fixed</t>
        </is>
      </c>
    </row>
    <row r="25">
      <c r="A25" s="13" t="inlineStr">
        <is>
          <t>D-24</t>
        </is>
      </c>
      <c r="B25" s="13" t="inlineStr">
        <is>
          <t>Medium</t>
        </is>
      </c>
      <c r="C25" s="13" t="inlineStr">
        <is>
          <t>Data</t>
        </is>
      </c>
      <c r="D25" s="13" t="inlineStr">
        <is>
          <t>Test data visible to customers</t>
        </is>
      </c>
      <c r="E25" s="13" t="inlineStr">
        <is>
          <t>Open /prices and /shop</t>
        </is>
      </c>
      <c r="F25" s="13" t="inlineStr">
        <is>
          <t>Only real plans and categories</t>
        </is>
      </c>
      <c r="G25" s="13" t="inlineStr">
        <is>
          <t>Plan "3 month" ₾150 is live with the "Most Popular" badge; category "test" (slug t) in shop sidebar</t>
        </is>
      </c>
      <c r="H25" s="13" t="inlineStr">
        <is>
          <t>Confirmed live: public API</t>
        </is>
      </c>
      <c r="I25" s="13" t="inlineStr">
        <is>
          <t>Confirmed</t>
        </is>
      </c>
      <c r="J25" s="13" t="inlineStr">
        <is>
          <t>TC-WEB-030, TC-WEB-052</t>
        </is>
      </c>
      <c r="K25" s="14" t="inlineStr"/>
      <c r="L25" s="14" t="inlineStr">
        <is>
          <t>Open</t>
        </is>
      </c>
    </row>
    <row r="26">
      <c r="A26" s="13" t="inlineStr">
        <is>
          <t>D-25</t>
        </is>
      </c>
      <c r="B26" s="13" t="inlineStr">
        <is>
          <t>Blocker</t>
        </is>
      </c>
      <c r="C26" s="13" t="inlineStr">
        <is>
          <t>Payment</t>
        </is>
      </c>
      <c r="D26" s="13" t="inlineStr">
        <is>
          <t>Payments cannot be taken — Flitt keys are empty</t>
        </is>
      </c>
      <c r="E26" s="13" t="inlineStr">
        <is>
          <t>Click Pay Now on any order</t>
        </is>
      </c>
      <c r="F26" s="13" t="inlineStr">
        <is>
          <t>Redirect to Flitt</t>
        </is>
      </c>
      <c r="G26" s="13" t="inlineStr">
        <is>
          <t>Initiation fails ("Failed to initiate payment")</t>
        </is>
      </c>
      <c r="H26" s="13" t="inlineStr">
        <is>
          <t>Handover SETUP-AND-KEYS.md §4: FLITT_MERCHANT_ID/SECRET/WEBHOOK empty</t>
        </is>
      </c>
      <c r="I26" s="13" t="inlineStr">
        <is>
          <t>Known</t>
        </is>
      </c>
      <c r="J26" s="13" t="inlineStr">
        <is>
          <t>TC-WEB-142, TC-WEB-143</t>
        </is>
      </c>
      <c r="K26" s="14" t="inlineStr"/>
      <c r="L26" s="14" t="inlineStr">
        <is>
          <t>Open</t>
        </is>
      </c>
    </row>
    <row r="27">
      <c r="A27" s="13" t="inlineStr">
        <is>
          <t>D-26</t>
        </is>
      </c>
      <c r="B27" s="13" t="inlineStr">
        <is>
          <t>Low</t>
        </is>
      </c>
      <c r="C27" s="13" t="inlineStr">
        <is>
          <t>Account</t>
        </is>
      </c>
      <c r="D27" s="13" t="inlineStr">
        <is>
          <t>Two headers on My Orders and Referrals</t>
        </is>
      </c>
      <c r="E27" s="13" t="inlineStr">
        <is>
          <t>Open /account/orders</t>
        </is>
      </c>
      <c r="F27" s="13" t="inlineStr">
        <is>
          <t>One header</t>
        </is>
      </c>
      <c r="G27" s="13" t="inlineStr">
        <is>
          <t>Global header plus a page header with its own logo/nav</t>
        </is>
      </c>
      <c r="H27" s="13" t="inlineStr">
        <is>
          <t>Code: account/orders/page.tsx, account/referrals/page.tsx</t>
        </is>
      </c>
      <c r="I27" s="13" t="inlineStr">
        <is>
          <t>From code</t>
        </is>
      </c>
      <c r="J27" s="13" t="inlineStr">
        <is>
          <t>TC-WEB-160</t>
        </is>
      </c>
      <c r="K27" s="14" t="inlineStr">
        <is>
          <t>Commit a705aba (fix/launch-critical)</t>
        </is>
      </c>
      <c r="L27" s="14" t="inlineStr">
        <is>
          <t>Fixed</t>
        </is>
      </c>
    </row>
    <row r="28">
      <c r="A28" s="13" t="inlineStr">
        <is>
          <t>D-29</t>
        </is>
      </c>
      <c r="B28" s="13" t="inlineStr">
        <is>
          <t>Low</t>
        </is>
      </c>
      <c r="C28" s="13" t="inlineStr">
        <is>
          <t>Checkout</t>
        </is>
      </c>
      <c r="D28" s="13" t="inlineStr">
        <is>
          <t>Signed-in customer must retype name and phone</t>
        </is>
      </c>
      <c r="E28" s="13" t="inlineStr">
        <is>
          <t>Sign in, go to delivery step</t>
        </is>
      </c>
      <c r="F28" s="13" t="inlineStr">
        <is>
          <t>Pre-filled from profile</t>
        </is>
      </c>
      <c r="G28" s="13" t="inlineStr">
        <is>
          <t>Fields empty</t>
        </is>
      </c>
      <c r="H28" s="13" t="inlineStr">
        <is>
          <t>Code: checkout/page.tsx</t>
        </is>
      </c>
      <c r="I28" s="13" t="inlineStr">
        <is>
          <t>From code</t>
        </is>
      </c>
      <c r="J28" s="13" t="inlineStr">
        <is>
          <t>TC-WEB-127</t>
        </is>
      </c>
      <c r="K28" s="14" t="inlineStr">
        <is>
          <t>Commit 28d3942 (fix/launch-critical)</t>
        </is>
      </c>
      <c r="L28" s="14" t="inlineStr">
        <is>
          <t>Fixed</t>
        </is>
      </c>
    </row>
    <row r="29">
      <c r="A29" s="13" t="inlineStr">
        <is>
          <t>D-30</t>
        </is>
      </c>
      <c r="B29" s="13" t="inlineStr">
        <is>
          <t>High</t>
        </is>
      </c>
      <c r="C29" s="13" t="inlineStr">
        <is>
          <t>Checkout</t>
        </is>
      </c>
      <c r="D29" s="13" t="inlineStr">
        <is>
          <t>Plans promising free delivery may still be charged delivery</t>
        </is>
      </c>
      <c r="E29" s="13" t="inlineStr">
        <is>
          <t>Put a plan with "Free delivery" in cart, reach delivery step</t>
        </is>
      </c>
      <c r="F29" s="13" t="inlineStr">
        <is>
          <t>₾0 delivery for the plan</t>
        </is>
      </c>
      <c r="G29" s="13" t="inlineStr">
        <is>
          <t>Delivery methods are priced on subtotal only (Standard ₾5.99, Express ₾12.99 at ₾50); no free option shown for plans</t>
        </is>
      </c>
      <c r="H29" s="13" t="inlineStr">
        <is>
          <t>Confirmed live: /cart/delivery-methods?total=50 has no free method. Plan cards promise free delivery</t>
        </is>
      </c>
      <c r="I29" s="13" t="inlineStr">
        <is>
          <t>Confirmed — needs product decision</t>
        </is>
      </c>
      <c r="J29" s="13" t="inlineStr">
        <is>
          <t>TC-WEB-126</t>
        </is>
      </c>
      <c r="K29" s="14" t="inlineStr">
        <is>
          <t>Commit d59ab61 (fix/launch-critical)</t>
        </is>
      </c>
      <c r="L29" s="14" t="inlineStr">
        <is>
          <t>Fixed</t>
        </is>
      </c>
    </row>
    <row r="30">
      <c r="A30" s="13" t="inlineStr">
        <is>
          <t>D-31</t>
        </is>
      </c>
      <c r="B30" s="13" t="inlineStr">
        <is>
          <t>High</t>
        </is>
      </c>
      <c r="C30" s="13" t="inlineStr">
        <is>
          <t>Payment</t>
        </is>
      </c>
      <c r="D30" s="13" t="inlineStr">
        <is>
          <t>A declined payment cancels the order; the customer cannot retry</t>
        </is>
      </c>
      <c r="E30" s="13" t="inlineStr">
        <is>
          <t>1. Place an order
2. Pay with a declined card
3. Try again from the result page or My Orders</t>
        </is>
      </c>
      <c r="F30" s="13" t="inlineStr">
        <is>
          <t>The order waits for payment and can be retried (stock held until it expires)</t>
        </is>
      </c>
      <c r="G30" s="13" t="inlineStr">
        <is>
          <t>Webhook sets the order CANCELLED and releases stock; cart was already emptied, so the customer must rebuild it</t>
        </is>
      </c>
      <c r="H30" s="13" t="inlineStr">
        <is>
          <t>Code: apps/api/src/modules/payments/payments.service.ts handleWebhook (paymentStatus FAILED → CANCELLED)</t>
        </is>
      </c>
      <c r="I30" s="13" t="inlineStr">
        <is>
          <t>From code — needs Flitt sandbox</t>
        </is>
      </c>
      <c r="J30" s="13" t="inlineStr"/>
      <c r="K30" s="14" t="inlineStr">
        <is>
          <t>Commit 38c0974 (fix/launch-critical) — verify with Flitt sandbox once keys exist (D-25)</t>
        </is>
      </c>
      <c r="L30" s="14" t="inlineStr">
        <is>
          <t>Fixed</t>
        </is>
      </c>
    </row>
  </sheetData>
  <autoFilter ref="A1:L29"/>
  <conditionalFormatting sqref="B2:B29">
    <cfRule type="cellIs" priority="1" operator="equal" dxfId="3">
      <formula>"Blocker"</formula>
    </cfRule>
    <cfRule type="cellIs" priority="2" operator="equal" dxfId="4">
      <formula>"Critical"</formula>
    </cfRule>
    <cfRule type="cellIs" priority="3" operator="equal" dxfId="5">
      <formula>"High"</formula>
    </cfRule>
    <cfRule type="cellIs" priority="4" operator="equal" dxfId="6">
      <formula>"Medium"</formula>
    </cfRule>
    <cfRule type="cellIs" priority="5" operator="equal" dxfId="7">
      <formula>"Low"</formula>
    </cfRule>
  </conditionalFormatting>
  <dataValidations count="1">
    <dataValidation sqref="L2:L29" showDropDown="0" showInputMessage="0" showErrorMessage="0" allowBlank="0" type="list">
      <formula1>"Open,In Progress,Fixed,Verified,Won't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50" customWidth="1" min="3" max="3"/>
    <col width="30" customWidth="1" min="4" max="4"/>
  </cols>
  <sheetData>
    <row r="1" ht="30" customHeight="1">
      <c r="A1" s="12" t="inlineStr">
        <is>
          <t>Item</t>
        </is>
      </c>
      <c r="B1" s="12" t="inlineStr">
        <is>
          <t>Value</t>
        </is>
      </c>
      <c r="C1" s="12" t="inlineStr">
        <is>
          <t>Why it matters</t>
        </is>
      </c>
      <c r="D1" s="12" t="inlineStr">
        <is>
          <t>Used by</t>
        </is>
      </c>
    </row>
    <row r="2">
      <c r="A2" s="13" t="inlineStr">
        <is>
          <t>Customer A (create)</t>
        </is>
      </c>
      <c r="B2" s="13" t="inlineStr">
        <is>
          <t>qa.customer.a+&lt;date&gt;@example.com · password of 8+ chars</t>
        </is>
      </c>
      <c r="C2" s="13" t="inlineStr">
        <is>
          <t>Main signed-in customer</t>
        </is>
      </c>
      <c r="D2" s="13" t="inlineStr">
        <is>
          <t>Account, checkout, orders</t>
        </is>
      </c>
    </row>
    <row r="3">
      <c r="A3" s="13" t="inlineStr">
        <is>
          <t>Customer B (create)</t>
        </is>
      </c>
      <c r="B3" s="13" t="inlineStr">
        <is>
          <t>qa.customer.b+&lt;date&gt;@example.com</t>
        </is>
      </c>
      <c r="C3" s="13" t="inlineStr">
        <is>
          <t>Privacy / cross-account checks</t>
        </is>
      </c>
      <c r="D3" s="13" t="inlineStr">
        <is>
          <t>Cart privacy, security</t>
        </is>
      </c>
    </row>
    <row r="4">
      <c r="A4" s="13" t="inlineStr">
        <is>
          <t>Gift recipient (create)</t>
        </is>
      </c>
      <c r="B4" s="13" t="inlineStr">
        <is>
          <t>qa.gift.recipient+&lt;date&gt;@example.com</t>
        </is>
      </c>
      <c r="C4" s="13" t="inlineStr">
        <is>
          <t>Claims a gifted subscription</t>
        </is>
      </c>
      <c r="D4" s="13" t="inlineStr">
        <is>
          <t>Gift claim</t>
        </is>
      </c>
    </row>
    <row r="5">
      <c r="A5" s="13" t="inlineStr">
        <is>
          <t>Product — normal stock</t>
        </is>
      </c>
      <c r="B5" s="13" t="inlineStr">
        <is>
          <t>blueberry-biscuits (180 in stock)</t>
        </is>
      </c>
      <c r="C5" s="13" t="inlineStr">
        <is>
          <t>Happy-path add to cart</t>
        </is>
      </c>
      <c r="D5" s="13" t="inlineStr">
        <is>
          <t>Product page, cart</t>
        </is>
      </c>
    </row>
    <row r="6">
      <c r="A6" s="13" t="inlineStr">
        <is>
          <t>Product — low stock</t>
        </is>
      </c>
      <c r="B6" s="13" t="inlineStr">
        <is>
          <t>chicken-jerky-treats (3 in stock)</t>
        </is>
      </c>
      <c r="C6" s="13" t="inlineStr">
        <is>
          <t>Low stock badge, quantity cap</t>
        </is>
      </c>
      <c r="D6" s="13" t="inlineStr">
        <is>
          <t>Shop, product page</t>
        </is>
      </c>
    </row>
    <row r="7">
      <c r="A7" s="13" t="inlineStr">
        <is>
          <t>Product — out of stock</t>
        </is>
      </c>
      <c r="B7" s="13" t="inlineStr">
        <is>
          <t>rope-tug-toy (0 in stock)</t>
        </is>
      </c>
      <c r="C7" s="13" t="inlineStr">
        <is>
          <t>Disabled Add to Cart</t>
        </is>
      </c>
      <c r="D7" s="13" t="inlineStr">
        <is>
          <t>Shop, product page</t>
        </is>
      </c>
    </row>
    <row r="8">
      <c r="A8" s="13" t="inlineStr">
        <is>
          <t>Plans</t>
        </is>
      </c>
      <c r="B8" s="13" t="inlineStr">
        <is>
          <t>1 Month ₾49.99 · 3 Months ₾134.99 · 6 Months ₾255 · 1 Year ₾480</t>
        </is>
      </c>
      <c r="C8" s="13" t="inlineStr">
        <is>
          <t>Expected live plans</t>
        </is>
      </c>
      <c r="D8" s="13" t="inlineStr">
        <is>
          <t>Pricing, checkout</t>
        </is>
      </c>
    </row>
    <row r="9">
      <c r="A9" s="13" t="inlineStr">
        <is>
          <t>Plan — leftover test</t>
        </is>
      </c>
      <c r="B9" s="13" t="inlineStr">
        <is>
          <t>"3 month" ₾150 (badge Most Popular)</t>
        </is>
      </c>
      <c r="C9" s="13" t="inlineStr">
        <is>
          <t>Should not be offered (D-24)</t>
        </is>
      </c>
      <c r="D9" s="13" t="inlineStr">
        <is>
          <t>Pricing</t>
        </is>
      </c>
    </row>
    <row r="10">
      <c r="A10" s="13" t="inlineStr">
        <is>
          <t>Delivery methods</t>
        </is>
      </c>
      <c r="B10" s="13" t="inlineStr">
        <is>
          <t>Standard ₾5.99 · Express ₾12.99 (no free option at ₾50)</t>
        </is>
      </c>
      <c r="C10" s="13" t="inlineStr">
        <is>
          <t>Totals and free-delivery promise (D-30)</t>
        </is>
      </c>
      <c r="D10" s="13" t="inlineStr">
        <is>
          <t>Checkout</t>
        </is>
      </c>
    </row>
    <row r="11">
      <c r="A11" s="13" t="inlineStr">
        <is>
          <t>Coupons (create in admin)</t>
        </is>
      </c>
      <c r="B11" s="13" t="inlineStr">
        <is>
          <t>TEST10 10% · FIVE ₾5 fixed · EXPIRED (past date) · MIN100 (min ₾100) · ONCE (max uses 1) · BIG100 ₾100 fixed</t>
        </is>
      </c>
      <c r="C11" s="13" t="inlineStr">
        <is>
          <t>None exist today</t>
        </is>
      </c>
      <c r="D11" s="13" t="inlineStr">
        <is>
          <t>Coupons</t>
        </is>
      </c>
    </row>
    <row r="12">
      <c r="A12" s="13" t="inlineStr">
        <is>
          <t>Categories</t>
        </is>
      </c>
      <c r="B12" s="13" t="inlineStr">
        <is>
          <t>Treats, Toys, Accessories, Grooming (+ junk "test")</t>
        </is>
      </c>
      <c r="C12" s="13" t="inlineStr">
        <is>
          <t>Filters</t>
        </is>
      </c>
      <c r="D12" s="13" t="inlineStr">
        <is>
          <t>Shop</t>
        </is>
      </c>
    </row>
    <row r="13">
      <c r="A13" s="13" t="inlineStr">
        <is>
          <t>Flitt sandbox</t>
        </is>
      </c>
      <c r="B13" s="13" t="inlineStr">
        <is>
          <t>Merchant ID, secret, webhook secret, approved and declined test cards</t>
        </is>
      </c>
      <c r="C13" s="13" t="inlineStr">
        <is>
          <t>Unblocks payment cases</t>
        </is>
      </c>
      <c r="D13" s="13" t="inlineStr">
        <is>
          <t>Payment, gift</t>
        </is>
      </c>
    </row>
    <row r="14">
      <c r="A14" s="13" t="inlineStr">
        <is>
          <t>Devices</t>
        </is>
      </c>
      <c r="B14" s="13" t="inlineStr">
        <is>
          <t>iPhone (Safari), Android (Chrome), iPad, macOS Chrome/Safari/Firefox, Windows Edge</t>
        </is>
      </c>
      <c r="C14" s="13" t="inlineStr">
        <is>
          <t>Compatibility</t>
        </is>
      </c>
      <c r="D14" s="13" t="inlineStr">
        <is>
          <t>Responsive</t>
        </is>
      </c>
    </row>
    <row r="15">
      <c r="A15" s="13" t="inlineStr">
        <is>
          <t>Viewports</t>
        </is>
      </c>
      <c r="B15" s="13" t="inlineStr">
        <is>
          <t>375×812 · 768×1024 · 1280×800 · 1920×1080</t>
        </is>
      </c>
      <c r="C15" s="13" t="inlineStr">
        <is>
          <t>Responsive layout</t>
        </is>
      </c>
      <c r="D15" s="13" t="inlineStr">
        <is>
          <t>Responsive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2026-10-07T21:04:22Z</dcterms:created>
  <dcterms:modified xsi:type="dcterms:W3CDTF">2026-10-20T19:44:25Z</dcterms:modified>
</cp:coreProperties>
</file>